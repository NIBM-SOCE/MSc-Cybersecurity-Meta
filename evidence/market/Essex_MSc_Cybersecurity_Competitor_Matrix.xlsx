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gend and Method" sheetId="1" state="visible" r:id="rId3"/>
    <sheet name="Competitor Matrix" sheetId="2" state="visible" r:id="rId4"/>
    <sheet name="Verification Log" sheetId="3" state="visible" r:id="rId5"/>
    <sheet name="Positioning Read" sheetId="4" state="visible" r:id="rId6"/>
    <sheet name="Sources" sheetId="5" state="visible" r:id="rId7"/>
  </sheets>
  <definedNames>
    <definedName function="false" hidden="true" localSheetId="1" name="_xlnm._FilterDatabase" vbProcedure="false">'Competitor Matrix'!$A$5:$U$18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<sst xmlns="http://schemas.openxmlformats.org/spreadsheetml/2006/main" count="449" uniqueCount="338">
  <si>
    <t xml:space="preserve">MSc Cybersecurity: Sri Lanka competitor matrix</t>
  </si>
  <si>
    <t xml:space="preserve">Prepared as evidence for the University of Essex partnership business case (NIBM School of Computing and Engineering)</t>
  </si>
  <si>
    <t xml:space="preserve">Compiled 12 September 2026. All figures are publicly published unless the Evidence status column says otherwise.</t>
  </si>
  <si>
    <t xml:space="preserve">What this matrix is for</t>
  </si>
  <si>
    <t xml:space="preserve">Essex is being asked to lend its award and its academic standards to a franchise delivery in Sri Lanka. Its committee is not judging profitability; it is judging whether the market is real across several cohorts, whether the award will sit credibly against what is already offered locally, and whether it is entering a market with room rather than joining a crowd. Every column below is chosen to answer one of those questions.</t>
  </si>
  <si>
    <t xml:space="preserve">How to read the columns</t>
  </si>
  <si>
    <t xml:space="preserve">Partnership model</t>
  </si>
  <si>
    <t xml:space="preserve">Tells Essex which UK universities already treat Sri Lanka as a franchise or validation market, and on what terms.</t>
  </si>
  <si>
    <t xml:space="preserve">NCSC certification</t>
  </si>
  <si>
    <t xml:space="preserve">The single sharpest differentiator in UK cyber postgraduate provision. Status is taken from the NCSC certified-degrees list (list reviewed 7 May 2026). Certification attaches to the degree as delivered and assessed by the named UK academic team; whether it extends to an overseas franchise delivery is a separate question for Essex to answer, and is flagged in the Verification Log.</t>
  </si>
  <si>
    <t xml:space="preserve">Duration and study mode</t>
  </si>
  <si>
    <t xml:space="preserve">The working-professional market here buys evenings and weekends. Full-time-only provision is effectively absent from this segment.</t>
  </si>
  <si>
    <t xml:space="preserve">Published fee</t>
  </si>
  <si>
    <t xml:space="preserve">Benchmarks the fee band. Several private providers do not publish, which is itself a finding: it means fee competition is opaque and negotiable.</t>
  </si>
  <si>
    <t xml:space="preserve">Market entry date</t>
  </si>
  <si>
    <t xml:space="preserve">Distinguishes long-established provision from 2026 entrants. Recent entry cuts both ways: it validates demand and raises crowding risk.</t>
  </si>
  <si>
    <t xml:space="preserve">Evidence status</t>
  </si>
  <si>
    <t xml:space="preserve">Published = taken from the provider's own current page. Stale = from a third-party aggregator whose listing is visibly out of date. Unverified = needs a call before it goes in the deck.</t>
  </si>
  <si>
    <t xml:space="preserve">Colour key</t>
  </si>
  <si>
    <t xml:space="preserve">Yellow fill</t>
  </si>
  <si>
    <t xml:space="preserve">A cell you must fill in or confirm before the deck is final.</t>
  </si>
  <si>
    <t xml:space="preserve">Green row</t>
  </si>
  <si>
    <t xml:space="preserve">The proposed NIBM and Essex programme, and the Coventry comparison row, both included as reference points rather than as competitors.</t>
  </si>
  <si>
    <t xml:space="preserve">Blue text</t>
  </si>
  <si>
    <t xml:space="preserve">An assumption or input you can change, notably the GBP to LKR rate on the matrix sheet.</t>
  </si>
  <si>
    <t xml:space="preserve">Honest limitations to state on the slide</t>
  </si>
  <si>
    <t xml:space="preserve">Four of the private UK-partner programmes do not publish fees, so the fee band rests on four published points and should be presented as a range with the gaps named, not as a complete picture.</t>
  </si>
  <si>
    <t xml:space="preserve">Two fee figures carried here come from a third-party aggregator with visibly dated listings and must be replaced by a direct enquiry before the deck is final.</t>
  </si>
  <si>
    <t xml:space="preserve">Enrolment volumes are not published by any private provider. The only enrolment number in the public domain is the UCSC cohort figure, so cohort-size argument must rest on NIBM's own pipeline data rather than on competitor volumes.</t>
  </si>
  <si>
    <t xml:space="preserve">Competitor matrix: cybersecurity master's provision available in Sri Lanka</t>
  </si>
  <si>
    <t xml:space="preserve">Columns selected for a UK awarding-body audience. Sort or filter on Partnership model and NCSC certification for the two slides that matter most.</t>
  </si>
  <si>
    <t xml:space="preserve">GBP to LKR rate used for indicative totals (edit to the prevailing rate):</t>
  </si>
  <si>
    <t xml:space="preserve">Assumption only. Set by the preparer; not a published figure.</t>
  </si>
  <si>
    <t xml:space="preserve">Ref</t>
  </si>
  <si>
    <t xml:space="preserve">Local provider / channel</t>
  </si>
  <si>
    <t xml:space="preserve">Programme title</t>
  </si>
  <si>
    <t xml:space="preserve">Awarding body</t>
  </si>
  <si>
    <t xml:space="preserve">Awarding body country</t>
  </si>
  <si>
    <t xml:space="preserve">Delivered in Sri Lanka?</t>
  </si>
  <si>
    <t xml:space="preserve">NCSC certification of the awarding programme</t>
  </si>
  <si>
    <t xml:space="preserve">NCSC expiry</t>
  </si>
  <si>
    <t xml:space="preserve">Other accreditation</t>
  </si>
  <si>
    <t xml:space="preserve">Level</t>
  </si>
  <si>
    <t xml:space="preserve">Duration</t>
  </si>
  <si>
    <t xml:space="preserve">Study mode and timetable</t>
  </si>
  <si>
    <t xml:space="preserve">Intakes per year</t>
  </si>
  <si>
    <t xml:space="preserve">Published fee (LKR)</t>
  </si>
  <si>
    <t xml:space="preserve">Additional fee (GBP)</t>
  </si>
  <si>
    <t xml:space="preserve">Indicative total (LKR)</t>
  </si>
  <si>
    <t xml:space="preserve">Entry requirement</t>
  </si>
  <si>
    <t xml:space="preserve">Market entry / page date</t>
  </si>
  <si>
    <t xml:space="preserve">Source ref</t>
  </si>
  <si>
    <t xml:space="preserve">C1</t>
  </si>
  <si>
    <t xml:space="preserve">APIIT Sri Lanka</t>
  </si>
  <si>
    <t xml:space="preserve">MSc Cyber Security</t>
  </si>
  <si>
    <t xml:space="preserve">Staffordshire University</t>
  </si>
  <si>
    <t xml:space="preserve">UK</t>
  </si>
  <si>
    <t xml:space="preserve">UK award delivered locally (franchise-type; terms not published)</t>
  </si>
  <si>
    <t xml:space="preserve">Yes</t>
  </si>
  <si>
    <t xml:space="preserve">Not listed on the NCSC certified-degrees list</t>
  </si>
  <si>
    <t xml:space="preserve">n/a</t>
  </si>
  <si>
    <t xml:space="preserve">Not published</t>
  </si>
  <si>
    <t xml:space="preserve">UK master's / SLQF 9 equivalent</t>
  </si>
  <si>
    <t xml:space="preserve">Bachelor's degree; exemptions considered on qualification and experience</t>
  </si>
  <si>
    <t xml:space="preserve">Page live 2026</t>
  </si>
  <si>
    <t xml:space="preserve">Published page, fee unverified</t>
  </si>
  <si>
    <t xml:space="preserve">S1</t>
  </si>
  <si>
    <t xml:space="preserve">C2</t>
  </si>
  <si>
    <t xml:space="preserve">Informatics Institute of Technology (IIT)</t>
  </si>
  <si>
    <t xml:space="preserve">MSc Cyber Security and Forensics</t>
  </si>
  <si>
    <t xml:space="preserve">University of Westminster</t>
  </si>
  <si>
    <t xml:space="preserve">UK award delivered locally</t>
  </si>
  <si>
    <t xml:space="preserve">Fully certified</t>
  </si>
  <si>
    <t xml:space="preserve">30/09/2028</t>
  </si>
  <si>
    <t xml:space="preserve">2 years (aggregator listing)</t>
  </si>
  <si>
    <t xml:space="preserve">Part time (aggregator listing)</t>
  </si>
  <si>
    <t xml:space="preserve">Strong computing degree; non-computing considered via interview and experience</t>
  </si>
  <si>
    <t xml:space="preserve">Published page, fee and mode unverified</t>
  </si>
  <si>
    <t xml:space="preserve">S2, S9</t>
  </si>
  <si>
    <t xml:space="preserve">C3</t>
  </si>
  <si>
    <t xml:space="preserve">Universal College Lanka (UCL Sri Lanka)</t>
  </si>
  <si>
    <t xml:space="preserve">University of Lancashire</t>
  </si>
  <si>
    <t xml:space="preserve">12 months</t>
  </si>
  <si>
    <t xml:space="preserve">Physical classes on campus</t>
  </si>
  <si>
    <t xml:space="preserve">3 (July, September, March)</t>
  </si>
  <si>
    <t xml:space="preserve">Bachelor's degree; subject prerequisites may apply by pathway</t>
  </si>
  <si>
    <t xml:space="preserve">Launched February 2026</t>
  </si>
  <si>
    <t xml:space="preserve">Published</t>
  </si>
  <si>
    <t xml:space="preserve">S3, S4</t>
  </si>
  <si>
    <t xml:space="preserve">C4</t>
  </si>
  <si>
    <t xml:space="preserve">ESOFT Metro Campus</t>
  </si>
  <si>
    <t xml:space="preserve">MSc Network and Information Security</t>
  </si>
  <si>
    <t xml:space="preserve">Kingston University</t>
  </si>
  <si>
    <t xml:space="preserve">Fully certified (Cyber Pathway)</t>
  </si>
  <si>
    <t xml:space="preserve">30/09/2026</t>
  </si>
  <si>
    <t xml:space="preserve">2 years plus dissertation</t>
  </si>
  <si>
    <t xml:space="preserve">Listed as full time</t>
  </si>
  <si>
    <t xml:space="preserve">1 (September)</t>
  </si>
  <si>
    <t xml:space="preserve">Bachelor's degree</t>
  </si>
  <si>
    <t xml:space="preserve">Aggregator listing, undated</t>
  </si>
  <si>
    <t xml:space="preserve">Stale: confirm by direct enquiry</t>
  </si>
  <si>
    <t xml:space="preserve">S5, S9</t>
  </si>
  <si>
    <t xml:space="preserve">C5</t>
  </si>
  <si>
    <t xml:space="preserve">SLIIT</t>
  </si>
  <si>
    <t xml:space="preserve">MSc in Information Technology specialising in Cyber Security</t>
  </si>
  <si>
    <t xml:space="preserve">SLIIT (own degree-awarding status)</t>
  </si>
  <si>
    <t xml:space="preserve">Sri Lanka</t>
  </si>
  <si>
    <t xml:space="preserve">Local award, no UK partner</t>
  </si>
  <si>
    <t xml:space="preserve">Not applicable (non-UK award)</t>
  </si>
  <si>
    <t xml:space="preserve">Sri Lankan master's</t>
  </si>
  <si>
    <t xml:space="preserve">2 years</t>
  </si>
  <si>
    <t xml:space="preserve">Part time</t>
  </si>
  <si>
    <t xml:space="preserve">Four-year computing honours degree, or three-year degree plus one year relevant experience</t>
  </si>
  <si>
    <t xml:space="preserve">Eligibility page dated 24 January 2026</t>
  </si>
  <si>
    <t xml:space="preserve">Published page, fee from stale aggregator listing</t>
  </si>
  <si>
    <t xml:space="preserve">S6, S9</t>
  </si>
  <si>
    <t xml:space="preserve">C6</t>
  </si>
  <si>
    <t xml:space="preserve">University of Colombo School of Computing (UCSC)</t>
  </si>
  <si>
    <t xml:space="preserve">Master of Cybersecurity</t>
  </si>
  <si>
    <t xml:space="preserve">University of Colombo</t>
  </si>
  <si>
    <t xml:space="preserve">State university, own award</t>
  </si>
  <si>
    <t xml:space="preserve">Programme launched with Asi@Connect TEIN and European Commission collaboration</t>
  </si>
  <si>
    <t xml:space="preserve">SLQF 9</t>
  </si>
  <si>
    <t xml:space="preserve">2 years part time, four semesters</t>
  </si>
  <si>
    <t xml:space="preserve">Distance learning with on-campus practicals and exams; Tue/Thu/Fri evenings plus Saturday</t>
  </si>
  <si>
    <t xml:space="preserve">Bachelor's degree recognised by UGC or University of Colombo, or equivalent; IQ test and/or interview</t>
  </si>
  <si>
    <t xml:space="preserve">Launched 2018; first cohort graduated 2022; page updated May 2026</t>
  </si>
  <si>
    <t xml:space="preserve">S7, S8</t>
  </si>
  <si>
    <t xml:space="preserve">C7</t>
  </si>
  <si>
    <t xml:space="preserve">Master of Information Security</t>
  </si>
  <si>
    <t xml:space="preserve">Not captured</t>
  </si>
  <si>
    <t xml:space="preserve">Weekends, 08.30 to 17.45</t>
  </si>
  <si>
    <t xml:space="preserve">Bachelor's degree recognised by UGC or University of Colombo, or equivalent</t>
  </si>
  <si>
    <t xml:space="preserve">S10</t>
  </si>
  <si>
    <t xml:space="preserve">C8</t>
  </si>
  <si>
    <t xml:space="preserve">NEXT Campus</t>
  </si>
  <si>
    <t xml:space="preserve">London Metropolitan University</t>
  </si>
  <si>
    <t xml:space="preserve">Flexible delivery options marketed to working professionals</t>
  </si>
  <si>
    <t xml:space="preserve">Unverified: confirm the award is currently running</t>
  </si>
  <si>
    <t xml:space="preserve">S11</t>
  </si>
  <si>
    <t xml:space="preserve">C9</t>
  </si>
  <si>
    <t xml:space="preserve">ANC Education</t>
  </si>
  <si>
    <t xml:space="preserve">MSc in Cyber Security</t>
  </si>
  <si>
    <t xml:space="preserve">UK partner not named on the page</t>
  </si>
  <si>
    <t xml:space="preserve">Cannot be assessed until the awarding body is confirmed</t>
  </si>
  <si>
    <t xml:space="preserve">Page live 2025</t>
  </si>
  <si>
    <t xml:space="preserve">Unverified: identify the awarding body first</t>
  </si>
  <si>
    <t xml:space="preserve">S12</t>
  </si>
  <si>
    <t xml:space="preserve">C10</t>
  </si>
  <si>
    <t xml:space="preserve">Northumbria University London (study in the UK)</t>
  </si>
  <si>
    <t xml:space="preserve">MSc Cyber Security (with optional Advanced Practice)</t>
  </si>
  <si>
    <t xml:space="preserve">Northumbria University</t>
  </si>
  <si>
    <t xml:space="preserve">Direct UK recruitment, actively marketed to Sri Lanka</t>
  </si>
  <si>
    <t xml:space="preserve">No</t>
  </si>
  <si>
    <t xml:space="preserve">30/09/2027</t>
  </si>
  <si>
    <t xml:space="preserve">UK master's</t>
  </si>
  <si>
    <t xml:space="preserve">On campus in London</t>
  </si>
  <si>
    <t xml:space="preserve">Not applicable (UK fees)</t>
  </si>
  <si>
    <t xml:space="preserve">Undergraduate degree in any discipline; IELTS 6.5 with no element below 5.5</t>
  </si>
  <si>
    <t xml:space="preserve">Sri Lanka campaign page live</t>
  </si>
  <si>
    <t xml:space="preserve">S13, S9</t>
  </si>
  <si>
    <t xml:space="preserve">C11</t>
  </si>
  <si>
    <t xml:space="preserve">University of Essex Online (Essex's own channel)</t>
  </si>
  <si>
    <t xml:space="preserve">University of Essex</t>
  </si>
  <si>
    <t xml:space="preserve">Wholly online, sold direct to international students including Sri Lanka</t>
  </si>
  <si>
    <t xml:space="preserve">BCS accredited toward Chartered IT Professional registration</t>
  </si>
  <si>
    <t xml:space="preserve">UK master's, 180 credits</t>
  </si>
  <si>
    <t xml:space="preserve">Indicative 2 years</t>
  </si>
  <si>
    <t xml:space="preserve">100% online, part time, 15 to 20 hours per module per week</t>
  </si>
  <si>
    <t xml:space="preserve">Multiple starts per year</t>
  </si>
  <si>
    <t xml:space="preserve">Not applicable (online fees in GBP)</t>
  </si>
  <si>
    <t xml:space="preserve">Undergraduate degree equivalent to a UK honours degree, or three years relevant work experience</t>
  </si>
  <si>
    <t xml:space="preserve">S14, S15</t>
  </si>
  <si>
    <t xml:space="preserve">C12</t>
  </si>
  <si>
    <t xml:space="preserve">Coventry University (NIBM's existing partner)</t>
  </si>
  <si>
    <t xml:space="preserve">Coventry University</t>
  </si>
  <si>
    <t xml:space="preserve">No local postgraduate delivery at NIBM at present</t>
  </si>
  <si>
    <t xml:space="preserve">Not applicable</t>
  </si>
  <si>
    <t xml:space="preserve">Reference row</t>
  </si>
  <si>
    <t xml:space="preserve">Published (NCSC list only)</t>
  </si>
  <si>
    <t xml:space="preserve">S9</t>
  </si>
  <si>
    <t xml:space="preserve">C13</t>
  </si>
  <si>
    <t xml:space="preserve">NIBM (proposed)</t>
  </si>
  <si>
    <t xml:space="preserve">Franchise (proposed)</t>
  </si>
  <si>
    <t xml:space="preserve">Yes (proposed)</t>
  </si>
  <si>
    <t xml:space="preserve">Provisionally certified</t>
  </si>
  <si>
    <t xml:space="preserve">Confirm with Essex</t>
  </si>
  <si>
    <t xml:space="preserve">To be set</t>
  </si>
  <si>
    <t xml:space="preserve">To be set: evening and weekend delivery is the market norm</t>
  </si>
  <si>
    <t xml:space="preserve">To be set with Essex</t>
  </si>
  <si>
    <t xml:space="preserve">Proposed 2027 entry</t>
  </si>
  <si>
    <t xml:space="preserve">To be completed</t>
  </si>
  <si>
    <t xml:space="preserve">S9, S16</t>
  </si>
  <si>
    <t xml:space="preserve">Notes on the numbers in this table</t>
  </si>
  <si>
    <t xml:space="preserve">Indicative total (column Q) is a formula: published LKR fee plus any GBP component converted at the rate in D3. It is arithmetic on published figures, not a quoted price.</t>
  </si>
  <si>
    <t xml:space="preserve">NCSC status is read from the NCSC certified-degrees list, reviewed 7 May 2026. Staffordshire, Lancashire's MSc Cyber Security, London Metropolitan and Essex Online do not appear on it; Lancashire appears only for a different programme, MSc Cybercrime Investigation, certified to 30/09/2029.</t>
  </si>
  <si>
    <t xml:space="preserve">Essex's campus MSc Cyber Security appears in the provisionally certified section, not the fully certified section. Present it as provisional. Overstating it to a UK awarding body would be the single most damaging error in the deck.</t>
  </si>
  <si>
    <t xml:space="preserve">ESOFT and SLIIT fee figures come from a third-party aggregator carrying visibly dated listings. Treat both as placeholders until a direct enquiry replaces them.</t>
  </si>
  <si>
    <t xml:space="preserve">No private provider publishes enrolment numbers. The only public cohort figure found is UCSC's 2023 Master of Cybersecurity intake of 28 students, 27 local and one international.</t>
  </si>
  <si>
    <t xml:space="preserve">Verification log: what must be confirmed before the deck is final</t>
  </si>
  <si>
    <t xml:space="preserve">Eleven working days. Ordered by consequence if wrong, not by ease. Fill the yellow columns.</t>
  </si>
  <si>
    <t xml:space="preserve">What to confirm</t>
  </si>
  <si>
    <t xml:space="preserve">Why it matters to Essex</t>
  </si>
  <si>
    <t xml:space="preserve">How to get it</t>
  </si>
  <si>
    <t xml:space="preserve">Owner</t>
  </si>
  <si>
    <t xml:space="preserve">Due</t>
  </si>
  <si>
    <t xml:space="preserve">Answer obtained</t>
  </si>
  <si>
    <t xml:space="preserve">Status</t>
  </si>
  <si>
    <t xml:space="preserve">V0</t>
  </si>
  <si>
    <t xml:space="preserve">EXAMPLE ROW: APIIT MSc Cyber Security total programme fee and payment schedule</t>
  </si>
  <si>
    <t xml:space="preserve">Sets the top of the private UK-partner fee band, which anchors the whole pricing slide</t>
  </si>
  <si>
    <t xml:space="preserve">Call the APIIT admissions counsellor line as a prospective applicant; ask for the fee sheet by email</t>
  </si>
  <si>
    <t xml:space="preserve">N. Dharmaratna</t>
  </si>
  <si>
    <t xml:space="preserve">16 Sep 2026</t>
  </si>
  <si>
    <t xml:space="preserve">LKR 000,000 total, four instalments</t>
  </si>
  <si>
    <t xml:space="preserve">Done</t>
  </si>
  <si>
    <t xml:space="preserve">V1</t>
  </si>
  <si>
    <t xml:space="preserve">Whether NCSC certification travels to a franchised overseas delivery, or attaches only to the Colchester-delivered and Essex-assessed programme</t>
  </si>
  <si>
    <t xml:space="preserve">It decides whether certification can be used in local marketing at all. Claiming it wrongly would expose both NIBM and Essex</t>
  </si>
  <si>
    <t xml:space="preserve">Ask Essex directly in the partnership conversation; the NCSC masters certification mailbox is the fallback</t>
  </si>
  <si>
    <t xml:space="preserve">V2</t>
  </si>
  <si>
    <t xml:space="preserve">Essex's position on channel overlap with University of Essex Online, which already sells an MSc Cyber Security into this market</t>
  </si>
  <si>
    <t xml:space="preserve">Essex will raise it if NIBM does not. A franchise that cannibalises their own online recruitment is a reason to decline</t>
  </si>
  <si>
    <t xml:space="preserve">Raise it first, in the deck, with a segmentation answer: online serves self-directed learners, franchise serves those who want labs, cohort and in-country support</t>
  </si>
  <si>
    <t xml:space="preserve">V3</t>
  </si>
  <si>
    <t xml:space="preserve">Why Essex rather than extending the existing Coventry relationship to postgraduate level</t>
  </si>
  <si>
    <t xml:space="preserve">An unexplained switch of UK partner reads as a warning sign to a partnerships committee. Coventry's own MSc Cyber Security is NCSC certified, so the question is unavoidable</t>
  </si>
  <si>
    <t xml:space="preserve">Settle the internal answer with NIBM management before the presentation; state it on a slide rather than waiting to be asked</t>
  </si>
  <si>
    <t xml:space="preserve">V4</t>
  </si>
  <si>
    <t xml:space="preserve">NIBM's regulatory standing to host a foreign master's award, and how the award is recognised locally</t>
  </si>
  <si>
    <t xml:space="preserve">First item a UK compliance team checks. Likely already covered by the Coventry arrangement, but it must be stated, not assumed</t>
  </si>
  <si>
    <t xml:space="preserve">NIBM registrar and the existing Coventry partnership documentation</t>
  </si>
  <si>
    <t xml:space="preserve">V5</t>
  </si>
  <si>
    <t xml:space="preserve">IIT MSc Cyber Security and Forensics fee, duration, timetable and current intake dates</t>
  </si>
  <si>
    <t xml:space="preserve">Westminster's programme is fully NCSC certified and is the closest direct competitor to the proposed Essex award</t>
  </si>
  <si>
    <t xml:space="preserve">Enquiry call; the published page carries no fee</t>
  </si>
  <si>
    <t xml:space="preserve">V6</t>
  </si>
  <si>
    <t xml:space="preserve">ESOFT and SLIIT current fees, replacing the aggregator figures</t>
  </si>
  <si>
    <t xml:space="preserve">Two of the four fee points in the matrix are stale. A UK reader who checks will find that</t>
  </si>
  <si>
    <t xml:space="preserve">Direct enquiry to each admissions office</t>
  </si>
  <si>
    <t xml:space="preserve">V7</t>
  </si>
  <si>
    <t xml:space="preserve">Whether the NEXT Campus and ANC cybersecurity master's programmes are actually recruiting, and under which awarding body</t>
  </si>
  <si>
    <t xml:space="preserve">Determines whether the local field is six programmes or eight. Crowding is a live question for Essex</t>
  </si>
  <si>
    <t xml:space="preserve">Enquiry call to each; check for a current intake date</t>
  </si>
  <si>
    <t xml:space="preserve">V8</t>
  </si>
  <si>
    <t xml:space="preserve">Whether any further UK university has entered or announced a Sri Lankan cyber master's since June 2026</t>
  </si>
  <si>
    <t xml:space="preserve">The Lancashire programme launched in February 2026. A market moving this fast may have moved again</t>
  </si>
  <si>
    <t xml:space="preserve">Check the Meta Ad Library for each local provider, and search press education pages for the last three months</t>
  </si>
  <si>
    <t xml:space="preserve">V9</t>
  </si>
  <si>
    <t xml:space="preserve">Essex's expected franchise commercial terms and any fee floor or ceiling</t>
  </si>
  <si>
    <t xml:space="preserve">The viability slide cannot be built without it, and a fee set outside Essex's tolerance invalidates the projection</t>
  </si>
  <si>
    <t xml:space="preserve">Ask Essex in the partnership conversation</t>
  </si>
  <si>
    <t xml:space="preserve">What the matrix says, and the four slides it supports</t>
  </si>
  <si>
    <t xml:space="preserve">Counts below are formulas over the Competitor Matrix sheet, so they update if you add rows.</t>
  </si>
  <si>
    <t xml:space="preserve">Counts</t>
  </si>
  <si>
    <t xml:space="preserve">Cybersecurity master's programmes delivered inside Sri Lanka</t>
  </si>
  <si>
    <t xml:space="preserve">Of those, carrying a UK award</t>
  </si>
  <si>
    <t xml:space="preserve">Of those, whose UK awarding programme is fully NCSC certified</t>
  </si>
  <si>
    <t xml:space="preserve">Local programmes with a published fee</t>
  </si>
  <si>
    <t xml:space="preserve">Lowest published local fee (LKR, excluding any GBP component)</t>
  </si>
  <si>
    <t xml:space="preserve">Highest published local fee (LKR, excluding any GBP component)</t>
  </si>
  <si>
    <t xml:space="preserve">Note: the count row for enrolment volumes is deliberately absent. No private provider publishes one, so cohort-size argument must come from NIBM's own pipeline.</t>
  </si>
  <si>
    <t xml:space="preserve">Finding 1: the local field is real but thin, and it moved this year</t>
  </si>
  <si>
    <t xml:space="preserve">Nine cybersecurity master's routes on this matrix are delivered inside Sri Lanka, six of them carrying a UK award. Two of the nine, at NEXT Campus and ANC, are unverified, so the defensible count going into the deck is seven routes across six providers, four of them UK-awarded. One of those four, the University of Lancashire programme at UCL Sri Lanka, launched only in February 2026. For Essex this is the useful shape: enough provision to prove demand, not so much that the market is saturated, and evidence that a peer UK university judged this market worth entering within the last seven months.</t>
  </si>
  <si>
    <t xml:space="preserve">Finding 2: certification is the gap, and Essex's position in it must be stated honestly</t>
  </si>
  <si>
    <t xml:space="preserve">Only two locally delivered programmes rest on a fully NCSC-certified UK degree, Westminster at IIT and Kingston at ESOFT, and the Kingston certification expires on 30 September 2026. Staffordshire's degree at APIIT is not on the list at all. Essex's MSc Cyber Security is on the list as provisionally certified to 30 September 2027. That is a genuine differentiator against most of the field and a genuine weakness against Westminster, and the deck should say both. Whether certification extends to a franchised delivery is the first question in the verification log, because the answer determines what may be claimed locally.</t>
  </si>
  <si>
    <t xml:space="preserve">Finding 3: the fee band is narrow, opaque, and anchored by the state sector</t>
  </si>
  <si>
    <t xml:space="preserve">Only four local routes publish a fee. Their rupee components run from LKR 325,000 to LKR 615,000, but the headline figure misleads: once the GBP 1,000 component is added, the twelve-month Lancashire route at UCL comes out around LKR 720,000 at an assumed 395 to the pound, making it the dearest local option rather than the cheapest. The effective band a buyer faces is therefore roughly LKR 350,000 to 720,000, with the UCSC Master of Cybersecurity at LKR 615,000 sitting at the top of the state-sector reference. Four private UK-partner programmes publish nothing at all, which tells Essex that price competition in this segment is negotiated rather than advertised. The practical implication is that an Essex franchise does not need to undercut anyone; it needs to justify a figure in the upper part of that band through the award, the certification standing and supervised lab delivery.</t>
  </si>
  <si>
    <t xml:space="preserve">Finding 4: Essex already sells into this market, and that is the question to answer first</t>
  </si>
  <si>
    <t xml:space="preserve">University of Essex Online offers a BCS-accredited MSc Cyber Security wholly online, part time, to international students. Essex's committee will be weighing a franchise against a channel they already own. The strongest version of the NIBM case treats this as the central question rather than an awkward aside: the online route serves the self-directed learner, while a franchise reaches the segment that will not buy a purely online master's, wants supervised labs and a physical cohort, and needs evening and weekend delivery in country. That segmentation argument, supported by the intent survey, is what the whole business case turns on.</t>
  </si>
  <si>
    <t xml:space="preserve">Finding 5: delivery mode is where the gap is widest</t>
  </si>
  <si>
    <t xml:space="preserve">Almost all local provision is part time over two years, in evenings and on weekends, because the buyer is a working professional. The one twelve-month route is delivered in physical classes. Nothing in the field appears to combine a UK award, certification standing, and a delivery pattern designed around Sri Lankan working hours with real lab supervision. That is the position an Essex franchise at NIBM can credibly claim, and it is the claim the deck should build toward.</t>
  </si>
  <si>
    <t xml:space="preserve">What this does not tell you</t>
  </si>
  <si>
    <t xml:space="preserve">The matrix establishes the competitive gap. It says nothing about how many people will enrol. Only the alumni intent survey and NIBM's graduation pipeline can speak to volume, and Essex will read a conservative conversion assumption more favourably than an ambitious one.</t>
  </si>
  <si>
    <t xml:space="preserve">Sources</t>
  </si>
  <si>
    <t xml:space="preserve">All retrieved 12 September 2026. Keep this sheet: a UK partnerships committee may check any figure in the deck.</t>
  </si>
  <si>
    <t xml:space="preserve">Source</t>
  </si>
  <si>
    <t xml:space="preserve">Used for</t>
  </si>
  <si>
    <t xml:space="preserve">URL</t>
  </si>
  <si>
    <t xml:space="preserve">APIIT Sri Lanka, MSc Cyber Security programme page</t>
  </si>
  <si>
    <t xml:space="preserve">Awarding body, curriculum, entry route</t>
  </si>
  <si>
    <t xml:space="preserve">https://apiit.lk/courses/msc-cyber-security/</t>
  </si>
  <si>
    <t xml:space="preserve">S2</t>
  </si>
  <si>
    <t xml:space="preserve">Informatics Institute of Technology, MSc Cyber Security and Forensics page</t>
  </si>
  <si>
    <t xml:space="preserve">Awarding body, curriculum</t>
  </si>
  <si>
    <t xml:space="preserve">https://www.iit.ac.lk/course/msc-cyber-security-and-forensics/</t>
  </si>
  <si>
    <t xml:space="preserve">S3</t>
  </si>
  <si>
    <t xml:space="preserve">UCL Sri Lanka, MSc Cyber Security page</t>
  </si>
  <si>
    <t xml:space="preserve">Fee, duration, intakes, delivery mode</t>
  </si>
  <si>
    <t xml:space="preserve">https://ucl.lk/cyber-security-msc/</t>
  </si>
  <si>
    <t xml:space="preserve">S4</t>
  </si>
  <si>
    <t xml:space="preserve">Daily Mirror education, UCL launch announcement, 22 February 2026</t>
  </si>
  <si>
    <t xml:space="preserve">Market entry date for the Lancashire programmes</t>
  </si>
  <si>
    <t xml:space="preserve">https://edu.dailymirror.lk/articles/news/2033/UCL-Launches-Industry-Aligned-Degrees-to-Develop-Future-Cyber-Security-Experts</t>
  </si>
  <si>
    <t xml:space="preserve">S5</t>
  </si>
  <si>
    <t xml:space="preserve">ESOFT Metro Campus, Kingston University MSc IT page</t>
  </si>
  <si>
    <t xml:space="preserve">Existence of the Kingston route</t>
  </si>
  <si>
    <t xml:space="preserve">https://esoft.lk/kingston-university-msc-it/</t>
  </si>
  <si>
    <t xml:space="preserve">S6</t>
  </si>
  <si>
    <t xml:space="preserve">SLIIT, MSc IT specialising in Cyber Security eligibility page</t>
  </si>
  <si>
    <t xml:space="preserve">Entry requirements, page date</t>
  </si>
  <si>
    <t xml:space="preserve">https://www.sliit.lk/?p=9539</t>
  </si>
  <si>
    <t xml:space="preserve">S7</t>
  </si>
  <si>
    <t xml:space="preserve">UCSC, Master of Cybersecurity programme page</t>
  </si>
  <si>
    <t xml:space="preserve">Fee, SLQF level, duration, timetable, curriculum, entry route</t>
  </si>
  <si>
    <t xml:space="preserve">https://ucsc.cmb.ac.lk/mcybersecurity/</t>
  </si>
  <si>
    <t xml:space="preserve">S8</t>
  </si>
  <si>
    <t xml:space="preserve">University of Colombo news, Master of Cybersecurity inauguration 2023</t>
  </si>
  <si>
    <t xml:space="preserve">Cohort size of 28 students</t>
  </si>
  <si>
    <t xml:space="preserve">https://cmb.ac.lk/category/ucsc</t>
  </si>
  <si>
    <t xml:space="preserve">NCSC certified degrees list, reviewed 7 May 2026</t>
  </si>
  <si>
    <t xml:space="preserve">All NCSC certification statuses and expiry dates</t>
  </si>
  <si>
    <t xml:space="preserve">https://www.ncsc.gov.uk/sites/default/files/2026-07/NCSC-certified-degrees.pdf</t>
  </si>
  <si>
    <t xml:space="preserve">UCSC, Master of Information Security programme page</t>
  </si>
  <si>
    <t xml:space="preserve">Weekend timetable, entry route</t>
  </si>
  <si>
    <t xml:space="preserve">https://ucsc.cmb.ac.lk/mis/</t>
  </si>
  <si>
    <t xml:space="preserve">NEXT Campus, MSc Cyber Security page</t>
  </si>
  <si>
    <t xml:space="preserve">Awarding body, flexible delivery claim</t>
  </si>
  <si>
    <t xml:space="preserve">https://next.lk/msc-cyber-security/</t>
  </si>
  <si>
    <t xml:space="preserve">ANC Education, MSc in Cyber Security page</t>
  </si>
  <si>
    <t xml:space="preserve">Existence of the programme</t>
  </si>
  <si>
    <t xml:space="preserve">https://ancedu.com/postgraduate-programs/uk-postgraduate-degree-programs/msc-in-cyber-security/</t>
  </si>
  <si>
    <t xml:space="preserve">S13</t>
  </si>
  <si>
    <t xml:space="preserve">Northumbria University London, Sri Lanka cybersecurity campaign page</t>
  </si>
  <si>
    <t xml:space="preserve">Direct UK recruitment into this market, entry requirements</t>
  </si>
  <si>
    <t xml:space="preserve">https://london.northumbria.ac.uk/cyber-security-matters-sri-lanka/</t>
  </si>
  <si>
    <t xml:space="preserve">S14</t>
  </si>
  <si>
    <t xml:space="preserve">University of Essex Online, MSc Cyber Security page</t>
  </si>
  <si>
    <t xml:space="preserve">Online delivery, credits, study hours, indicative duration</t>
  </si>
  <si>
    <t xml:space="preserve">https://online.essex.ac.uk/courses/msc-cyber-security/</t>
  </si>
  <si>
    <t xml:space="preserve">S15</t>
  </si>
  <si>
    <t xml:space="preserve">Mastersportal listing for University of Essex Online MSc Cyber Security</t>
  </si>
  <si>
    <t xml:space="preserve">BCS accreditation, entry routes</t>
  </si>
  <si>
    <t xml:space="preserve">https://www.mastersportal.com/studies/297261/cyber-security.html</t>
  </si>
  <si>
    <t xml:space="preserve">S16</t>
  </si>
  <si>
    <t xml:space="preserve">University of Essex, MSc Cyber Security course page</t>
  </si>
  <si>
    <t xml:space="preserve">Programme focus, NCSC framing, school research standing</t>
  </si>
  <si>
    <t xml:space="preserve">https://www.essex.ac.uk/courses/pg01630/1/msc-cyber-security</t>
  </si>
</sst>
</file>

<file path=xl/styles.xml><?xml version="1.0" encoding="utf-8"?>
<styleSheet xmlns="http://schemas.openxmlformats.org/spreadsheetml/2006/main">
  <numFmts count="2">
    <numFmt numFmtId="164" formatCode="General"/>
    <numFmt numFmtId="165" formatCode="#,##0"/>
  </numFmts>
  <fonts count="17">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i val="true"/>
      <sz val="10"/>
      <color rgb="FF404040"/>
      <name val="Arial"/>
      <family val="0"/>
      <charset val="1"/>
    </font>
    <font>
      <b val="true"/>
      <sz val="11"/>
      <color rgb="FF1F3864"/>
      <name val="Arial"/>
      <family val="0"/>
      <charset val="1"/>
    </font>
    <font>
      <sz val="10"/>
      <name val="Arial"/>
      <family val="0"/>
      <charset val="1"/>
    </font>
    <font>
      <b val="true"/>
      <sz val="10"/>
      <name val="Arial"/>
      <family val="0"/>
      <charset val="1"/>
    </font>
    <font>
      <b val="true"/>
      <sz val="14"/>
      <color rgb="FF1F3864"/>
      <name val="Arial"/>
      <family val="0"/>
      <charset val="1"/>
    </font>
    <font>
      <b val="true"/>
      <sz val="10"/>
      <color rgb="FF0000FF"/>
      <name val="Arial"/>
      <family val="0"/>
      <charset val="1"/>
    </font>
    <font>
      <i val="true"/>
      <sz val="9"/>
      <color rgb="FF808080"/>
      <name val="Arial"/>
      <family val="0"/>
      <charset val="1"/>
    </font>
    <font>
      <b val="true"/>
      <sz val="10"/>
      <color rgb="FFFFFFFF"/>
      <name val="Arial"/>
      <family val="0"/>
      <charset val="1"/>
    </font>
    <font>
      <sz val="9"/>
      <name val="Arial"/>
      <family val="0"/>
      <charset val="1"/>
    </font>
    <font>
      <b val="true"/>
      <sz val="9"/>
      <name val="Arial"/>
      <family val="0"/>
      <charset val="1"/>
    </font>
    <font>
      <b val="true"/>
      <sz val="10"/>
      <color rgb="FF1F3864"/>
      <name val="Arial"/>
      <family val="0"/>
      <charset val="1"/>
    </font>
    <font>
      <i val="true"/>
      <sz val="9"/>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1F3864"/>
        <bgColor rgb="FF333399"/>
      </patternFill>
    </fill>
    <fill>
      <patternFill patternType="solid">
        <fgColor rgb="FFF2F2F2"/>
        <bgColor rgb="FFE2EFDA"/>
      </patternFill>
    </fill>
    <fill>
      <patternFill patternType="solid">
        <fgColor rgb="FFE2EFDA"/>
        <bgColor rgb="FFF2F2F2"/>
      </patternFill>
    </fill>
    <fill>
      <patternFill patternType="solid">
        <fgColor rgb="FFD9E2F3"/>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center"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5" fontId="13"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5" fontId="13" fillId="4"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true" applyProtection="false">
      <alignment horizontal="general" vertical="top" textRotation="0" wrapText="true" indent="0" shrinkToFit="false"/>
      <protection locked="true" hidden="false"/>
    </xf>
    <xf numFmtId="165" fontId="14" fillId="5"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general" vertical="top" textRotation="0" wrapText="true" indent="0" shrinkToFit="false"/>
      <protection locked="true" hidden="false"/>
    </xf>
    <xf numFmtId="164" fontId="14" fillId="2" borderId="1" xfId="0" applyFont="true" applyBorder="true" applyAlignment="true" applyProtection="false">
      <alignment horizontal="center" vertical="top" textRotation="0" wrapText="true" indent="0" shrinkToFit="false"/>
      <protection locked="true" hidden="false"/>
    </xf>
    <xf numFmtId="165" fontId="14" fillId="2" borderId="1" xfId="0" applyFont="true" applyBorder="tru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6" fillId="6" borderId="1" xfId="0" applyFont="true" applyBorder="true" applyAlignment="true" applyProtection="false">
      <alignment horizontal="center" vertical="top" textRotation="0" wrapText="true" indent="0" shrinkToFit="false"/>
      <protection locked="true" hidden="false"/>
    </xf>
    <xf numFmtId="164" fontId="16" fillId="6"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true" applyProtection="false">
      <alignment horizontal="center" vertical="top" textRotation="0" wrapText="true" indent="0" shrinkToFit="false"/>
      <protection locked="true" hidden="false"/>
    </xf>
    <xf numFmtId="164" fontId="13" fillId="2"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3864"/>
          <bgColor rgb="FF000000"/>
        </patternFill>
      </fill>
    </dxf>
    <dxf>
      <fill>
        <patternFill patternType="solid">
          <fgColor rgb="FFE2EFDA"/>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6"/>
  </cols>
  <sheetData>
    <row r="1" customFormat="false" ht="18.5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57.75" hidden="false" customHeight="true" outlineLevel="0" collapsed="false">
      <c r="A6" s="4" t="s">
        <v>4</v>
      </c>
      <c r="B6" s="4"/>
    </row>
    <row r="8" customFormat="false" ht="15" hidden="false" customHeight="false" outlineLevel="0" collapsed="false">
      <c r="A8" s="3" t="s">
        <v>5</v>
      </c>
    </row>
    <row r="9" customFormat="false" ht="45.75" hidden="false" customHeight="true" outlineLevel="0" collapsed="false">
      <c r="A9" s="5" t="s">
        <v>6</v>
      </c>
      <c r="B9" s="6" t="s">
        <v>7</v>
      </c>
    </row>
    <row r="10" customFormat="false" ht="45.75" hidden="false" customHeight="true" outlineLevel="0" collapsed="false">
      <c r="A10" s="5" t="s">
        <v>8</v>
      </c>
      <c r="B10" s="6" t="s">
        <v>9</v>
      </c>
    </row>
    <row r="11" customFormat="false" ht="45.75" hidden="false" customHeight="true" outlineLevel="0" collapsed="false">
      <c r="A11" s="5" t="s">
        <v>10</v>
      </c>
      <c r="B11" s="6" t="s">
        <v>11</v>
      </c>
    </row>
    <row r="12" customFormat="false" ht="45.75" hidden="false" customHeight="true" outlineLevel="0" collapsed="false">
      <c r="A12" s="5" t="s">
        <v>12</v>
      </c>
      <c r="B12" s="6" t="s">
        <v>13</v>
      </c>
    </row>
    <row r="13" customFormat="false" ht="45.75" hidden="false" customHeight="true" outlineLevel="0" collapsed="false">
      <c r="A13" s="5" t="s">
        <v>14</v>
      </c>
      <c r="B13" s="6" t="s">
        <v>15</v>
      </c>
    </row>
    <row r="14" customFormat="false" ht="45.75" hidden="false" customHeight="true" outlineLevel="0" collapsed="false">
      <c r="A14" s="5" t="s">
        <v>16</v>
      </c>
      <c r="B14" s="6" t="s">
        <v>17</v>
      </c>
    </row>
    <row r="16" customFormat="false" ht="15" hidden="false" customHeight="false" outlineLevel="0" collapsed="false">
      <c r="A16" s="3" t="s">
        <v>18</v>
      </c>
    </row>
    <row r="17" customFormat="false" ht="45.75" hidden="false" customHeight="true" outlineLevel="0" collapsed="false">
      <c r="A17" s="5" t="s">
        <v>19</v>
      </c>
      <c r="B17" s="6" t="s">
        <v>20</v>
      </c>
    </row>
    <row r="18" customFormat="false" ht="45.75" hidden="false" customHeight="true" outlineLevel="0" collapsed="false">
      <c r="A18" s="5" t="s">
        <v>21</v>
      </c>
      <c r="B18" s="6" t="s">
        <v>22</v>
      </c>
    </row>
    <row r="19" customFormat="false" ht="45.75" hidden="false" customHeight="true" outlineLevel="0" collapsed="false">
      <c r="A19" s="5" t="s">
        <v>23</v>
      </c>
      <c r="B19" s="6" t="s">
        <v>24</v>
      </c>
    </row>
    <row r="21" customFormat="false" ht="15" hidden="false" customHeight="false" outlineLevel="0" collapsed="false">
      <c r="A21" s="3" t="s">
        <v>25</v>
      </c>
    </row>
    <row r="22" customFormat="false" ht="57.75" hidden="false" customHeight="true" outlineLevel="0" collapsed="false">
      <c r="A22" s="4" t="s">
        <v>26</v>
      </c>
      <c r="B22" s="4"/>
    </row>
    <row r="23" customFormat="false" ht="57.75" hidden="false" customHeight="true" outlineLevel="0" collapsed="false">
      <c r="A23" s="4" t="s">
        <v>27</v>
      </c>
      <c r="B23" s="4"/>
    </row>
    <row r="24" customFormat="false" ht="57.75" hidden="false" customHeight="true" outlineLevel="0" collapsed="false">
      <c r="A24" s="4" t="s">
        <v>28</v>
      </c>
      <c r="B24" s="4"/>
    </row>
  </sheetData>
  <mergeCells count="4">
    <mergeCell ref="A6:B6"/>
    <mergeCell ref="A22:B22"/>
    <mergeCell ref="A23:B23"/>
    <mergeCell ref="A24:B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32"/>
    <col collapsed="false" customWidth="true" hidden="false" outlineLevel="0" max="4" min="4" style="0" width="22"/>
    <col collapsed="false" customWidth="true" hidden="false" outlineLevel="0" max="5" min="5" style="0" width="12"/>
    <col collapsed="false" customWidth="true" hidden="false" outlineLevel="0" max="6" min="6" style="0" width="30"/>
    <col collapsed="false" customWidth="true" hidden="false" outlineLevel="0" max="7" min="7" style="0" width="12"/>
    <col collapsed="false" customWidth="true" hidden="false" outlineLevel="0" max="8" min="8" style="0" width="24"/>
    <col collapsed="false" customWidth="true" hidden="false" outlineLevel="0" max="9" min="9" style="0" width="11"/>
    <col collapsed="false" customWidth="true" hidden="false" outlineLevel="0" max="10" min="10" style="0" width="26"/>
    <col collapsed="false" customWidth="true" hidden="false" outlineLevel="0" max="12" min="11" style="0" width="20"/>
    <col collapsed="false" customWidth="true" hidden="false" outlineLevel="0" max="13" min="13" style="0" width="30"/>
    <col collapsed="false" customWidth="true" hidden="false" outlineLevel="0" max="14" min="14" style="0" width="12"/>
    <col collapsed="false" customWidth="true" hidden="false" outlineLevel="0" max="15" min="15" style="0" width="15"/>
    <col collapsed="false" customWidth="true" hidden="false" outlineLevel="0" max="16" min="16" style="0" width="13"/>
    <col collapsed="false" customWidth="true" hidden="false" outlineLevel="0" max="17" min="17" style="0" width="16"/>
    <col collapsed="false" customWidth="true" hidden="false" outlineLevel="0" max="18" min="18" style="0" width="34"/>
    <col collapsed="false" customWidth="true" hidden="false" outlineLevel="0" max="19" min="19" style="0" width="22"/>
    <col collapsed="false" customWidth="true" hidden="false" outlineLevel="0" max="20" min="20" style="0" width="26"/>
    <col collapsed="false" customWidth="true" hidden="false" outlineLevel="0" max="21" min="21" style="0" width="10"/>
  </cols>
  <sheetData>
    <row r="1" customFormat="false" ht="17.35" hidden="false" customHeight="false" outlineLevel="0" collapsed="false">
      <c r="A1" s="7" t="s">
        <v>29</v>
      </c>
    </row>
    <row r="2" customFormat="false" ht="15" hidden="false" customHeight="false" outlineLevel="0" collapsed="false">
      <c r="A2" s="2" t="s">
        <v>30</v>
      </c>
    </row>
    <row r="3" customFormat="false" ht="15" hidden="false" customHeight="false" outlineLevel="0" collapsed="false">
      <c r="A3" s="5" t="s">
        <v>31</v>
      </c>
      <c r="D3" s="8" t="n">
        <v>395</v>
      </c>
      <c r="E3" s="9" t="s">
        <v>32</v>
      </c>
    </row>
    <row r="5" customFormat="false" ht="55.5" hidden="false" customHeight="true" outlineLevel="0" collapsed="false">
      <c r="A5" s="10" t="s">
        <v>33</v>
      </c>
      <c r="B5" s="10" t="s">
        <v>34</v>
      </c>
      <c r="C5" s="10" t="s">
        <v>35</v>
      </c>
      <c r="D5" s="10" t="s">
        <v>36</v>
      </c>
      <c r="E5" s="10" t="s">
        <v>37</v>
      </c>
      <c r="F5" s="10" t="s">
        <v>6</v>
      </c>
      <c r="G5" s="10" t="s">
        <v>38</v>
      </c>
      <c r="H5" s="10" t="s">
        <v>39</v>
      </c>
      <c r="I5" s="10" t="s">
        <v>40</v>
      </c>
      <c r="J5" s="10" t="s">
        <v>41</v>
      </c>
      <c r="K5" s="10" t="s">
        <v>42</v>
      </c>
      <c r="L5" s="10" t="s">
        <v>43</v>
      </c>
      <c r="M5" s="10" t="s">
        <v>44</v>
      </c>
      <c r="N5" s="10" t="s">
        <v>45</v>
      </c>
      <c r="O5" s="10" t="s">
        <v>46</v>
      </c>
      <c r="P5" s="10" t="s">
        <v>47</v>
      </c>
      <c r="Q5" s="10" t="s">
        <v>48</v>
      </c>
      <c r="R5" s="10" t="s">
        <v>49</v>
      </c>
      <c r="S5" s="10" t="s">
        <v>50</v>
      </c>
      <c r="T5" s="10" t="s">
        <v>16</v>
      </c>
      <c r="U5" s="10" t="s">
        <v>51</v>
      </c>
    </row>
    <row r="6" customFormat="false" ht="73.5" hidden="false" customHeight="true" outlineLevel="0" collapsed="false">
      <c r="A6" s="11" t="s">
        <v>52</v>
      </c>
      <c r="B6" s="12" t="s">
        <v>53</v>
      </c>
      <c r="C6" s="12" t="s">
        <v>54</v>
      </c>
      <c r="D6" s="12" t="s">
        <v>55</v>
      </c>
      <c r="E6" s="11" t="s">
        <v>56</v>
      </c>
      <c r="F6" s="12" t="s">
        <v>57</v>
      </c>
      <c r="G6" s="11" t="s">
        <v>58</v>
      </c>
      <c r="H6" s="12" t="s">
        <v>59</v>
      </c>
      <c r="I6" s="11" t="s">
        <v>60</v>
      </c>
      <c r="J6" s="12" t="s">
        <v>61</v>
      </c>
      <c r="K6" s="12" t="s">
        <v>62</v>
      </c>
      <c r="L6" s="12" t="s">
        <v>61</v>
      </c>
      <c r="M6" s="12" t="s">
        <v>61</v>
      </c>
      <c r="N6" s="11" t="s">
        <v>61</v>
      </c>
      <c r="O6" s="13" t="s">
        <v>61</v>
      </c>
      <c r="P6" s="13"/>
      <c r="Q6" s="13" t="str">
        <f aca="false">IF(OR(ISNUMBER(O6),ISNUMBER(P6)),IF(ISNUMBER(O6),O6,0)+IF(ISNUMBER(P6),P6*$D$3,0),"")</f>
        <v/>
      </c>
      <c r="R6" s="12" t="s">
        <v>63</v>
      </c>
      <c r="S6" s="12" t="s">
        <v>64</v>
      </c>
      <c r="T6" s="12" t="s">
        <v>65</v>
      </c>
      <c r="U6" s="12" t="s">
        <v>66</v>
      </c>
    </row>
    <row r="7" customFormat="false" ht="73.5" hidden="false" customHeight="true" outlineLevel="0" collapsed="false">
      <c r="A7" s="14" t="s">
        <v>67</v>
      </c>
      <c r="B7" s="15" t="s">
        <v>68</v>
      </c>
      <c r="C7" s="15" t="s">
        <v>69</v>
      </c>
      <c r="D7" s="15" t="s">
        <v>70</v>
      </c>
      <c r="E7" s="14" t="s">
        <v>56</v>
      </c>
      <c r="F7" s="15" t="s">
        <v>71</v>
      </c>
      <c r="G7" s="14" t="s">
        <v>58</v>
      </c>
      <c r="H7" s="15" t="s">
        <v>72</v>
      </c>
      <c r="I7" s="14" t="s">
        <v>73</v>
      </c>
      <c r="J7" s="15" t="s">
        <v>61</v>
      </c>
      <c r="K7" s="15" t="s">
        <v>62</v>
      </c>
      <c r="L7" s="15" t="s">
        <v>74</v>
      </c>
      <c r="M7" s="15" t="s">
        <v>75</v>
      </c>
      <c r="N7" s="14" t="s">
        <v>61</v>
      </c>
      <c r="O7" s="16" t="s">
        <v>61</v>
      </c>
      <c r="P7" s="16"/>
      <c r="Q7" s="16" t="str">
        <f aca="false">IF(OR(ISNUMBER(O7),ISNUMBER(P7)),IF(ISNUMBER(O7),O7,0)+IF(ISNUMBER(P7),P7*$D$3,0),"")</f>
        <v/>
      </c>
      <c r="R7" s="15" t="s">
        <v>76</v>
      </c>
      <c r="S7" s="15" t="s">
        <v>64</v>
      </c>
      <c r="T7" s="15" t="s">
        <v>77</v>
      </c>
      <c r="U7" s="15" t="s">
        <v>78</v>
      </c>
    </row>
    <row r="8" customFormat="false" ht="73.5" hidden="false" customHeight="true" outlineLevel="0" collapsed="false">
      <c r="A8" s="11" t="s">
        <v>79</v>
      </c>
      <c r="B8" s="12" t="s">
        <v>80</v>
      </c>
      <c r="C8" s="12" t="s">
        <v>54</v>
      </c>
      <c r="D8" s="12" t="s">
        <v>81</v>
      </c>
      <c r="E8" s="11" t="s">
        <v>56</v>
      </c>
      <c r="F8" s="12" t="s">
        <v>71</v>
      </c>
      <c r="G8" s="11" t="s">
        <v>58</v>
      </c>
      <c r="H8" s="12" t="s">
        <v>59</v>
      </c>
      <c r="I8" s="11" t="s">
        <v>60</v>
      </c>
      <c r="J8" s="12" t="s">
        <v>61</v>
      </c>
      <c r="K8" s="12" t="s">
        <v>62</v>
      </c>
      <c r="L8" s="12" t="s">
        <v>82</v>
      </c>
      <c r="M8" s="12" t="s">
        <v>83</v>
      </c>
      <c r="N8" s="11" t="s">
        <v>84</v>
      </c>
      <c r="O8" s="13" t="n">
        <v>325000</v>
      </c>
      <c r="P8" s="13" t="n">
        <v>1000</v>
      </c>
      <c r="Q8" s="13" t="n">
        <f aca="false">IF(OR(ISNUMBER(O8),ISNUMBER(P8)),IF(ISNUMBER(O8),O8,0)+IF(ISNUMBER(P8),P8*$D$3,0),"")</f>
        <v>720000</v>
      </c>
      <c r="R8" s="12" t="s">
        <v>85</v>
      </c>
      <c r="S8" s="12" t="s">
        <v>86</v>
      </c>
      <c r="T8" s="12" t="s">
        <v>87</v>
      </c>
      <c r="U8" s="12" t="s">
        <v>88</v>
      </c>
    </row>
    <row r="9" customFormat="false" ht="73.5" hidden="false" customHeight="true" outlineLevel="0" collapsed="false">
      <c r="A9" s="14" t="s">
        <v>89</v>
      </c>
      <c r="B9" s="15" t="s">
        <v>90</v>
      </c>
      <c r="C9" s="15" t="s">
        <v>91</v>
      </c>
      <c r="D9" s="15" t="s">
        <v>92</v>
      </c>
      <c r="E9" s="14" t="s">
        <v>56</v>
      </c>
      <c r="F9" s="15" t="s">
        <v>71</v>
      </c>
      <c r="G9" s="14" t="s">
        <v>58</v>
      </c>
      <c r="H9" s="15" t="s">
        <v>93</v>
      </c>
      <c r="I9" s="14" t="s">
        <v>94</v>
      </c>
      <c r="J9" s="15" t="s">
        <v>61</v>
      </c>
      <c r="K9" s="15" t="s">
        <v>62</v>
      </c>
      <c r="L9" s="15" t="s">
        <v>95</v>
      </c>
      <c r="M9" s="15" t="s">
        <v>96</v>
      </c>
      <c r="N9" s="14" t="s">
        <v>97</v>
      </c>
      <c r="O9" s="16" t="n">
        <v>350000</v>
      </c>
      <c r="P9" s="16"/>
      <c r="Q9" s="16" t="n">
        <f aca="false">IF(OR(ISNUMBER(O9),ISNUMBER(P9)),IF(ISNUMBER(O9),O9,0)+IF(ISNUMBER(P9),P9*$D$3,0),"")</f>
        <v>350000</v>
      </c>
      <c r="R9" s="15" t="s">
        <v>98</v>
      </c>
      <c r="S9" s="15" t="s">
        <v>99</v>
      </c>
      <c r="T9" s="15" t="s">
        <v>100</v>
      </c>
      <c r="U9" s="15" t="s">
        <v>101</v>
      </c>
    </row>
    <row r="10" customFormat="false" ht="73.5" hidden="false" customHeight="true" outlineLevel="0" collapsed="false">
      <c r="A10" s="11" t="s">
        <v>102</v>
      </c>
      <c r="B10" s="12" t="s">
        <v>103</v>
      </c>
      <c r="C10" s="12" t="s">
        <v>104</v>
      </c>
      <c r="D10" s="12" t="s">
        <v>105</v>
      </c>
      <c r="E10" s="11" t="s">
        <v>106</v>
      </c>
      <c r="F10" s="12" t="s">
        <v>107</v>
      </c>
      <c r="G10" s="11" t="s">
        <v>58</v>
      </c>
      <c r="H10" s="12" t="s">
        <v>108</v>
      </c>
      <c r="I10" s="11" t="s">
        <v>60</v>
      </c>
      <c r="J10" s="12" t="s">
        <v>61</v>
      </c>
      <c r="K10" s="12" t="s">
        <v>109</v>
      </c>
      <c r="L10" s="12" t="s">
        <v>110</v>
      </c>
      <c r="M10" s="12" t="s">
        <v>111</v>
      </c>
      <c r="N10" s="11" t="s">
        <v>61</v>
      </c>
      <c r="O10" s="13" t="n">
        <v>550000</v>
      </c>
      <c r="P10" s="13"/>
      <c r="Q10" s="13" t="n">
        <f aca="false">IF(OR(ISNUMBER(O10),ISNUMBER(P10)),IF(ISNUMBER(O10),O10,0)+IF(ISNUMBER(P10),P10*$D$3,0),"")</f>
        <v>550000</v>
      </c>
      <c r="R10" s="12" t="s">
        <v>112</v>
      </c>
      <c r="S10" s="12" t="s">
        <v>113</v>
      </c>
      <c r="T10" s="12" t="s">
        <v>114</v>
      </c>
      <c r="U10" s="12" t="s">
        <v>115</v>
      </c>
    </row>
    <row r="11" customFormat="false" ht="73.5" hidden="false" customHeight="true" outlineLevel="0" collapsed="false">
      <c r="A11" s="14" t="s">
        <v>116</v>
      </c>
      <c r="B11" s="15" t="s">
        <v>117</v>
      </c>
      <c r="C11" s="15" t="s">
        <v>118</v>
      </c>
      <c r="D11" s="15" t="s">
        <v>119</v>
      </c>
      <c r="E11" s="14" t="s">
        <v>106</v>
      </c>
      <c r="F11" s="15" t="s">
        <v>120</v>
      </c>
      <c r="G11" s="14" t="s">
        <v>58</v>
      </c>
      <c r="H11" s="15" t="s">
        <v>108</v>
      </c>
      <c r="I11" s="14" t="s">
        <v>60</v>
      </c>
      <c r="J11" s="15" t="s">
        <v>121</v>
      </c>
      <c r="K11" s="15" t="s">
        <v>122</v>
      </c>
      <c r="L11" s="15" t="s">
        <v>123</v>
      </c>
      <c r="M11" s="15" t="s">
        <v>124</v>
      </c>
      <c r="N11" s="14" t="s">
        <v>61</v>
      </c>
      <c r="O11" s="16" t="n">
        <v>615000</v>
      </c>
      <c r="P11" s="16"/>
      <c r="Q11" s="16" t="n">
        <f aca="false">IF(OR(ISNUMBER(O11),ISNUMBER(P11)),IF(ISNUMBER(O11),O11,0)+IF(ISNUMBER(P11),P11*$D$3,0),"")</f>
        <v>615000</v>
      </c>
      <c r="R11" s="15" t="s">
        <v>125</v>
      </c>
      <c r="S11" s="15" t="s">
        <v>126</v>
      </c>
      <c r="T11" s="15" t="s">
        <v>87</v>
      </c>
      <c r="U11" s="15" t="s">
        <v>127</v>
      </c>
    </row>
    <row r="12" customFormat="false" ht="73.5" hidden="false" customHeight="true" outlineLevel="0" collapsed="false">
      <c r="A12" s="11" t="s">
        <v>128</v>
      </c>
      <c r="B12" s="12" t="s">
        <v>117</v>
      </c>
      <c r="C12" s="12" t="s">
        <v>129</v>
      </c>
      <c r="D12" s="12" t="s">
        <v>119</v>
      </c>
      <c r="E12" s="11" t="s">
        <v>106</v>
      </c>
      <c r="F12" s="12" t="s">
        <v>120</v>
      </c>
      <c r="G12" s="11" t="s">
        <v>58</v>
      </c>
      <c r="H12" s="12" t="s">
        <v>108</v>
      </c>
      <c r="I12" s="11" t="s">
        <v>60</v>
      </c>
      <c r="J12" s="12" t="s">
        <v>61</v>
      </c>
      <c r="K12" s="12" t="s">
        <v>122</v>
      </c>
      <c r="L12" s="12" t="s">
        <v>130</v>
      </c>
      <c r="M12" s="12" t="s">
        <v>131</v>
      </c>
      <c r="N12" s="11" t="s">
        <v>61</v>
      </c>
      <c r="O12" s="13" t="s">
        <v>61</v>
      </c>
      <c r="P12" s="13"/>
      <c r="Q12" s="13" t="str">
        <f aca="false">IF(OR(ISNUMBER(O12),ISNUMBER(P12)),IF(ISNUMBER(O12),O12,0)+IF(ISNUMBER(P12),P12*$D$3,0),"")</f>
        <v/>
      </c>
      <c r="R12" s="12" t="s">
        <v>132</v>
      </c>
      <c r="S12" s="12" t="s">
        <v>64</v>
      </c>
      <c r="T12" s="12" t="s">
        <v>65</v>
      </c>
      <c r="U12" s="12" t="s">
        <v>133</v>
      </c>
    </row>
    <row r="13" customFormat="false" ht="73.5" hidden="false" customHeight="true" outlineLevel="0" collapsed="false">
      <c r="A13" s="14" t="s">
        <v>134</v>
      </c>
      <c r="B13" s="15" t="s">
        <v>135</v>
      </c>
      <c r="C13" s="15" t="s">
        <v>54</v>
      </c>
      <c r="D13" s="15" t="s">
        <v>136</v>
      </c>
      <c r="E13" s="14" t="s">
        <v>56</v>
      </c>
      <c r="F13" s="15" t="s">
        <v>71</v>
      </c>
      <c r="G13" s="14" t="s">
        <v>58</v>
      </c>
      <c r="H13" s="15" t="s">
        <v>59</v>
      </c>
      <c r="I13" s="14" t="s">
        <v>60</v>
      </c>
      <c r="J13" s="15" t="s">
        <v>61</v>
      </c>
      <c r="K13" s="15" t="s">
        <v>62</v>
      </c>
      <c r="L13" s="15" t="s">
        <v>61</v>
      </c>
      <c r="M13" s="15" t="s">
        <v>137</v>
      </c>
      <c r="N13" s="14" t="s">
        <v>61</v>
      </c>
      <c r="O13" s="16" t="s">
        <v>61</v>
      </c>
      <c r="P13" s="16"/>
      <c r="Q13" s="16" t="str">
        <f aca="false">IF(OR(ISNUMBER(O13),ISNUMBER(P13)),IF(ISNUMBER(O13),O13,0)+IF(ISNUMBER(P13),P13*$D$3,0),"")</f>
        <v/>
      </c>
      <c r="R13" s="15" t="s">
        <v>61</v>
      </c>
      <c r="S13" s="15" t="s">
        <v>64</v>
      </c>
      <c r="T13" s="15" t="s">
        <v>138</v>
      </c>
      <c r="U13" s="15" t="s">
        <v>139</v>
      </c>
    </row>
    <row r="14" customFormat="false" ht="73.5" hidden="false" customHeight="true" outlineLevel="0" collapsed="false">
      <c r="A14" s="11" t="s">
        <v>140</v>
      </c>
      <c r="B14" s="12" t="s">
        <v>141</v>
      </c>
      <c r="C14" s="12" t="s">
        <v>142</v>
      </c>
      <c r="D14" s="12" t="s">
        <v>143</v>
      </c>
      <c r="E14" s="11" t="s">
        <v>56</v>
      </c>
      <c r="F14" s="12" t="s">
        <v>71</v>
      </c>
      <c r="G14" s="11" t="s">
        <v>58</v>
      </c>
      <c r="H14" s="12" t="s">
        <v>144</v>
      </c>
      <c r="I14" s="11" t="s">
        <v>60</v>
      </c>
      <c r="J14" s="12" t="s">
        <v>61</v>
      </c>
      <c r="K14" s="12" t="s">
        <v>62</v>
      </c>
      <c r="L14" s="12" t="s">
        <v>61</v>
      </c>
      <c r="M14" s="12" t="s">
        <v>61</v>
      </c>
      <c r="N14" s="11" t="s">
        <v>61</v>
      </c>
      <c r="O14" s="13" t="s">
        <v>61</v>
      </c>
      <c r="P14" s="13"/>
      <c r="Q14" s="13" t="str">
        <f aca="false">IF(OR(ISNUMBER(O14),ISNUMBER(P14)),IF(ISNUMBER(O14),O14,0)+IF(ISNUMBER(P14),P14*$D$3,0),"")</f>
        <v/>
      </c>
      <c r="R14" s="12" t="s">
        <v>61</v>
      </c>
      <c r="S14" s="12" t="s">
        <v>145</v>
      </c>
      <c r="T14" s="12" t="s">
        <v>146</v>
      </c>
      <c r="U14" s="12" t="s">
        <v>147</v>
      </c>
    </row>
    <row r="15" customFormat="false" ht="73.5" hidden="false" customHeight="true" outlineLevel="0" collapsed="false">
      <c r="A15" s="14" t="s">
        <v>148</v>
      </c>
      <c r="B15" s="15" t="s">
        <v>149</v>
      </c>
      <c r="C15" s="15" t="s">
        <v>150</v>
      </c>
      <c r="D15" s="15" t="s">
        <v>151</v>
      </c>
      <c r="E15" s="14" t="s">
        <v>56</v>
      </c>
      <c r="F15" s="15" t="s">
        <v>152</v>
      </c>
      <c r="G15" s="14" t="s">
        <v>153</v>
      </c>
      <c r="H15" s="15" t="s">
        <v>72</v>
      </c>
      <c r="I15" s="14" t="s">
        <v>154</v>
      </c>
      <c r="J15" s="15" t="s">
        <v>61</v>
      </c>
      <c r="K15" s="15" t="s">
        <v>155</v>
      </c>
      <c r="L15" s="15" t="s">
        <v>130</v>
      </c>
      <c r="M15" s="15" t="s">
        <v>156</v>
      </c>
      <c r="N15" s="14" t="s">
        <v>130</v>
      </c>
      <c r="O15" s="16" t="s">
        <v>157</v>
      </c>
      <c r="P15" s="16"/>
      <c r="Q15" s="16" t="str">
        <f aca="false">IF(OR(ISNUMBER(O15),ISNUMBER(P15)),IF(ISNUMBER(O15),O15,0)+IF(ISNUMBER(P15),P15*$D$3,0),"")</f>
        <v/>
      </c>
      <c r="R15" s="15" t="s">
        <v>158</v>
      </c>
      <c r="S15" s="15" t="s">
        <v>159</v>
      </c>
      <c r="T15" s="15" t="s">
        <v>87</v>
      </c>
      <c r="U15" s="15" t="s">
        <v>160</v>
      </c>
    </row>
    <row r="16" customFormat="false" ht="73.5" hidden="false" customHeight="true" outlineLevel="0" collapsed="false">
      <c r="A16" s="11" t="s">
        <v>161</v>
      </c>
      <c r="B16" s="12" t="s">
        <v>162</v>
      </c>
      <c r="C16" s="12" t="s">
        <v>54</v>
      </c>
      <c r="D16" s="12" t="s">
        <v>163</v>
      </c>
      <c r="E16" s="11" t="s">
        <v>56</v>
      </c>
      <c r="F16" s="12" t="s">
        <v>164</v>
      </c>
      <c r="G16" s="11" t="s">
        <v>153</v>
      </c>
      <c r="H16" s="12" t="s">
        <v>59</v>
      </c>
      <c r="I16" s="11" t="s">
        <v>60</v>
      </c>
      <c r="J16" s="12" t="s">
        <v>165</v>
      </c>
      <c r="K16" s="12" t="s">
        <v>166</v>
      </c>
      <c r="L16" s="12" t="s">
        <v>167</v>
      </c>
      <c r="M16" s="12" t="s">
        <v>168</v>
      </c>
      <c r="N16" s="11" t="s">
        <v>169</v>
      </c>
      <c r="O16" s="13" t="s">
        <v>170</v>
      </c>
      <c r="P16" s="13"/>
      <c r="Q16" s="13" t="str">
        <f aca="false">IF(OR(ISNUMBER(O16),ISNUMBER(P16)),IF(ISNUMBER(O16),O16,0)+IF(ISNUMBER(P16),P16*$D$3,0),"")</f>
        <v/>
      </c>
      <c r="R16" s="12" t="s">
        <v>171</v>
      </c>
      <c r="S16" s="12" t="s">
        <v>64</v>
      </c>
      <c r="T16" s="12" t="s">
        <v>87</v>
      </c>
      <c r="U16" s="12" t="s">
        <v>172</v>
      </c>
    </row>
    <row r="17" customFormat="false" ht="73.5" hidden="false" customHeight="true" outlineLevel="0" collapsed="false">
      <c r="A17" s="17" t="s">
        <v>173</v>
      </c>
      <c r="B17" s="18" t="s">
        <v>174</v>
      </c>
      <c r="C17" s="18" t="s">
        <v>54</v>
      </c>
      <c r="D17" s="18" t="s">
        <v>175</v>
      </c>
      <c r="E17" s="17" t="s">
        <v>56</v>
      </c>
      <c r="F17" s="18" t="s">
        <v>176</v>
      </c>
      <c r="G17" s="17" t="s">
        <v>153</v>
      </c>
      <c r="H17" s="18" t="s">
        <v>72</v>
      </c>
      <c r="I17" s="17" t="s">
        <v>154</v>
      </c>
      <c r="J17" s="18" t="s">
        <v>61</v>
      </c>
      <c r="K17" s="18" t="s">
        <v>155</v>
      </c>
      <c r="L17" s="18" t="s">
        <v>130</v>
      </c>
      <c r="M17" s="18" t="s">
        <v>130</v>
      </c>
      <c r="N17" s="17" t="s">
        <v>130</v>
      </c>
      <c r="O17" s="19" t="s">
        <v>177</v>
      </c>
      <c r="P17" s="19"/>
      <c r="Q17" s="19" t="str">
        <f aca="false">IF(OR(ISNUMBER(O17),ISNUMBER(P17)),IF(ISNUMBER(O17),O17,0)+IF(ISNUMBER(P17),P17*$D$3,0),"")</f>
        <v/>
      </c>
      <c r="R17" s="18" t="s">
        <v>130</v>
      </c>
      <c r="S17" s="18" t="s">
        <v>178</v>
      </c>
      <c r="T17" s="18" t="s">
        <v>179</v>
      </c>
      <c r="U17" s="18" t="s">
        <v>180</v>
      </c>
    </row>
    <row r="18" customFormat="false" ht="73.5" hidden="false" customHeight="true" outlineLevel="0" collapsed="false">
      <c r="A18" s="17" t="s">
        <v>181</v>
      </c>
      <c r="B18" s="18" t="s">
        <v>182</v>
      </c>
      <c r="C18" s="18" t="s">
        <v>54</v>
      </c>
      <c r="D18" s="18" t="s">
        <v>163</v>
      </c>
      <c r="E18" s="17" t="s">
        <v>56</v>
      </c>
      <c r="F18" s="18" t="s">
        <v>183</v>
      </c>
      <c r="G18" s="17" t="s">
        <v>184</v>
      </c>
      <c r="H18" s="18" t="s">
        <v>185</v>
      </c>
      <c r="I18" s="17" t="s">
        <v>154</v>
      </c>
      <c r="J18" s="18" t="s">
        <v>186</v>
      </c>
      <c r="K18" s="20" t="s">
        <v>62</v>
      </c>
      <c r="L18" s="20" t="s">
        <v>187</v>
      </c>
      <c r="M18" s="20" t="s">
        <v>188</v>
      </c>
      <c r="N18" s="21" t="s">
        <v>187</v>
      </c>
      <c r="O18" s="22" t="s">
        <v>187</v>
      </c>
      <c r="P18" s="19"/>
      <c r="Q18" s="19" t="str">
        <f aca="false">IF(OR(ISNUMBER(O18),ISNUMBER(P18)),IF(ISNUMBER(O18),O18,0)+IF(ISNUMBER(P18),P18*$D$3,0),"")</f>
        <v/>
      </c>
      <c r="R18" s="20" t="s">
        <v>189</v>
      </c>
      <c r="S18" s="18" t="s">
        <v>190</v>
      </c>
      <c r="T18" s="20" t="s">
        <v>191</v>
      </c>
      <c r="U18" s="18" t="s">
        <v>192</v>
      </c>
    </row>
    <row r="20" customFormat="false" ht="15" hidden="false" customHeight="false" outlineLevel="0" collapsed="false">
      <c r="A20" s="23" t="s">
        <v>193</v>
      </c>
    </row>
    <row r="21" customFormat="false" ht="30" hidden="false" customHeight="true" outlineLevel="0" collapsed="false">
      <c r="A21" s="24" t="s">
        <v>194</v>
      </c>
      <c r="B21" s="24"/>
      <c r="C21" s="24"/>
      <c r="D21" s="24"/>
      <c r="E21" s="24"/>
      <c r="F21" s="24"/>
      <c r="G21" s="24"/>
      <c r="H21" s="24"/>
      <c r="I21" s="24"/>
      <c r="J21" s="24"/>
    </row>
    <row r="22" customFormat="false" ht="30" hidden="false" customHeight="true" outlineLevel="0" collapsed="false">
      <c r="A22" s="24" t="s">
        <v>195</v>
      </c>
      <c r="B22" s="24"/>
      <c r="C22" s="24"/>
      <c r="D22" s="24"/>
      <c r="E22" s="24"/>
      <c r="F22" s="24"/>
      <c r="G22" s="24"/>
      <c r="H22" s="24"/>
      <c r="I22" s="24"/>
      <c r="J22" s="24"/>
    </row>
    <row r="23" customFormat="false" ht="30" hidden="false" customHeight="true" outlineLevel="0" collapsed="false">
      <c r="A23" s="24" t="s">
        <v>196</v>
      </c>
      <c r="B23" s="24"/>
      <c r="C23" s="24"/>
      <c r="D23" s="24"/>
      <c r="E23" s="24"/>
      <c r="F23" s="24"/>
      <c r="G23" s="24"/>
      <c r="H23" s="24"/>
      <c r="I23" s="24"/>
      <c r="J23" s="24"/>
    </row>
    <row r="24" customFormat="false" ht="30" hidden="false" customHeight="true" outlineLevel="0" collapsed="false">
      <c r="A24" s="24" t="s">
        <v>197</v>
      </c>
      <c r="B24" s="24"/>
      <c r="C24" s="24"/>
      <c r="D24" s="24"/>
      <c r="E24" s="24"/>
      <c r="F24" s="24"/>
      <c r="G24" s="24"/>
      <c r="H24" s="24"/>
      <c r="I24" s="24"/>
      <c r="J24" s="24"/>
    </row>
    <row r="25" customFormat="false" ht="30" hidden="false" customHeight="true" outlineLevel="0" collapsed="false">
      <c r="A25" s="24" t="s">
        <v>198</v>
      </c>
      <c r="B25" s="24"/>
      <c r="C25" s="24"/>
      <c r="D25" s="24"/>
      <c r="E25" s="24"/>
      <c r="F25" s="24"/>
      <c r="G25" s="24"/>
      <c r="H25" s="24"/>
      <c r="I25" s="24"/>
      <c r="J25" s="24"/>
    </row>
  </sheetData>
  <autoFilter ref="A5:U18"/>
  <mergeCells count="5">
    <mergeCell ref="A21:J21"/>
    <mergeCell ref="A22:J22"/>
    <mergeCell ref="A23:J23"/>
    <mergeCell ref="A24:J24"/>
    <mergeCell ref="A25:J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44"/>
    <col collapsed="false" customWidth="true" hidden="false" outlineLevel="0" max="4" min="4" style="0" width="40"/>
    <col collapsed="false" customWidth="true" hidden="false" outlineLevel="0" max="5" min="5" style="0" width="16"/>
    <col collapsed="false" customWidth="true" hidden="false" outlineLevel="0" max="6" min="6" style="0" width="12"/>
    <col collapsed="false" customWidth="true" hidden="false" outlineLevel="0" max="7" min="7" style="0" width="26"/>
    <col collapsed="false" customWidth="true" hidden="false" outlineLevel="0" max="8" min="8" style="0" width="12"/>
  </cols>
  <sheetData>
    <row r="1" customFormat="false" ht="17.35" hidden="false" customHeight="false" outlineLevel="0" collapsed="false">
      <c r="A1" s="7" t="s">
        <v>199</v>
      </c>
    </row>
    <row r="2" customFormat="false" ht="15" hidden="false" customHeight="false" outlineLevel="0" collapsed="false">
      <c r="A2" s="2" t="s">
        <v>200</v>
      </c>
    </row>
    <row r="4" customFormat="false" ht="33.75" hidden="false" customHeight="true" outlineLevel="0" collapsed="false">
      <c r="A4" s="10" t="s">
        <v>33</v>
      </c>
      <c r="B4" s="10" t="s">
        <v>201</v>
      </c>
      <c r="C4" s="10" t="s">
        <v>202</v>
      </c>
      <c r="D4" s="10" t="s">
        <v>203</v>
      </c>
      <c r="E4" s="10" t="s">
        <v>204</v>
      </c>
      <c r="F4" s="10" t="s">
        <v>205</v>
      </c>
      <c r="G4" s="10" t="s">
        <v>206</v>
      </c>
      <c r="H4" s="10" t="s">
        <v>207</v>
      </c>
    </row>
    <row r="5" customFormat="false" ht="66" hidden="false" customHeight="true" outlineLevel="0" collapsed="false">
      <c r="A5" s="25" t="s">
        <v>208</v>
      </c>
      <c r="B5" s="26" t="s">
        <v>209</v>
      </c>
      <c r="C5" s="26" t="s">
        <v>210</v>
      </c>
      <c r="D5" s="26" t="s">
        <v>211</v>
      </c>
      <c r="E5" s="25" t="s">
        <v>212</v>
      </c>
      <c r="F5" s="25" t="s">
        <v>213</v>
      </c>
      <c r="G5" s="26" t="s">
        <v>214</v>
      </c>
      <c r="H5" s="25" t="s">
        <v>215</v>
      </c>
    </row>
    <row r="6" customFormat="false" ht="66" hidden="false" customHeight="true" outlineLevel="0" collapsed="false">
      <c r="A6" s="11" t="s">
        <v>216</v>
      </c>
      <c r="B6" s="12" t="s">
        <v>217</v>
      </c>
      <c r="C6" s="12" t="s">
        <v>218</v>
      </c>
      <c r="D6" s="12" t="s">
        <v>219</v>
      </c>
      <c r="E6" s="27"/>
      <c r="F6" s="27"/>
      <c r="G6" s="28"/>
      <c r="H6" s="27"/>
    </row>
    <row r="7" customFormat="false" ht="66" hidden="false" customHeight="true" outlineLevel="0" collapsed="false">
      <c r="A7" s="11" t="s">
        <v>220</v>
      </c>
      <c r="B7" s="12" t="s">
        <v>221</v>
      </c>
      <c r="C7" s="12" t="s">
        <v>222</v>
      </c>
      <c r="D7" s="12" t="s">
        <v>223</v>
      </c>
      <c r="E7" s="27"/>
      <c r="F7" s="27"/>
      <c r="G7" s="28"/>
      <c r="H7" s="27"/>
    </row>
    <row r="8" customFormat="false" ht="66" hidden="false" customHeight="true" outlineLevel="0" collapsed="false">
      <c r="A8" s="11" t="s">
        <v>224</v>
      </c>
      <c r="B8" s="12" t="s">
        <v>225</v>
      </c>
      <c r="C8" s="12" t="s">
        <v>226</v>
      </c>
      <c r="D8" s="12" t="s">
        <v>227</v>
      </c>
      <c r="E8" s="27"/>
      <c r="F8" s="27"/>
      <c r="G8" s="28"/>
      <c r="H8" s="27"/>
    </row>
    <row r="9" customFormat="false" ht="66" hidden="false" customHeight="true" outlineLevel="0" collapsed="false">
      <c r="A9" s="11" t="s">
        <v>228</v>
      </c>
      <c r="B9" s="12" t="s">
        <v>229</v>
      </c>
      <c r="C9" s="12" t="s">
        <v>230</v>
      </c>
      <c r="D9" s="12" t="s">
        <v>231</v>
      </c>
      <c r="E9" s="27"/>
      <c r="F9" s="27"/>
      <c r="G9" s="28"/>
      <c r="H9" s="27"/>
    </row>
    <row r="10" customFormat="false" ht="66" hidden="false" customHeight="true" outlineLevel="0" collapsed="false">
      <c r="A10" s="11" t="s">
        <v>232</v>
      </c>
      <c r="B10" s="12" t="s">
        <v>233</v>
      </c>
      <c r="C10" s="12" t="s">
        <v>234</v>
      </c>
      <c r="D10" s="12" t="s">
        <v>235</v>
      </c>
      <c r="E10" s="27"/>
      <c r="F10" s="27"/>
      <c r="G10" s="28"/>
      <c r="H10" s="27"/>
    </row>
    <row r="11" customFormat="false" ht="66" hidden="false" customHeight="true" outlineLevel="0" collapsed="false">
      <c r="A11" s="11" t="s">
        <v>236</v>
      </c>
      <c r="B11" s="12" t="s">
        <v>237</v>
      </c>
      <c r="C11" s="12" t="s">
        <v>238</v>
      </c>
      <c r="D11" s="12" t="s">
        <v>239</v>
      </c>
      <c r="E11" s="27"/>
      <c r="F11" s="27"/>
      <c r="G11" s="28"/>
      <c r="H11" s="27"/>
    </row>
    <row r="12" customFormat="false" ht="66" hidden="false" customHeight="true" outlineLevel="0" collapsed="false">
      <c r="A12" s="11" t="s">
        <v>240</v>
      </c>
      <c r="B12" s="12" t="s">
        <v>241</v>
      </c>
      <c r="C12" s="12" t="s">
        <v>242</v>
      </c>
      <c r="D12" s="12" t="s">
        <v>243</v>
      </c>
      <c r="E12" s="27"/>
      <c r="F12" s="27"/>
      <c r="G12" s="28"/>
      <c r="H12" s="27"/>
    </row>
    <row r="13" customFormat="false" ht="66" hidden="false" customHeight="true" outlineLevel="0" collapsed="false">
      <c r="A13" s="11" t="s">
        <v>244</v>
      </c>
      <c r="B13" s="12" t="s">
        <v>245</v>
      </c>
      <c r="C13" s="12" t="s">
        <v>246</v>
      </c>
      <c r="D13" s="12" t="s">
        <v>247</v>
      </c>
      <c r="E13" s="27"/>
      <c r="F13" s="27"/>
      <c r="G13" s="28"/>
      <c r="H13" s="27"/>
    </row>
    <row r="14" customFormat="false" ht="66" hidden="false" customHeight="true" outlineLevel="0" collapsed="false">
      <c r="A14" s="11" t="s">
        <v>248</v>
      </c>
      <c r="B14" s="12" t="s">
        <v>249</v>
      </c>
      <c r="C14" s="12" t="s">
        <v>250</v>
      </c>
      <c r="D14" s="12" t="s">
        <v>251</v>
      </c>
      <c r="E14" s="27"/>
      <c r="F14" s="27"/>
      <c r="G14" s="28"/>
      <c r="H14" s="2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6" min="2" style="0" width="18"/>
  </cols>
  <sheetData>
    <row r="1" customFormat="false" ht="17.35" hidden="false" customHeight="false" outlineLevel="0" collapsed="false">
      <c r="A1" s="7" t="s">
        <v>252</v>
      </c>
    </row>
    <row r="2" customFormat="false" ht="15" hidden="false" customHeight="false" outlineLevel="0" collapsed="false">
      <c r="A2" s="2" t="s">
        <v>253</v>
      </c>
    </row>
    <row r="4" customFormat="false" ht="15" hidden="false" customHeight="false" outlineLevel="0" collapsed="false">
      <c r="A4" s="3" t="s">
        <v>254</v>
      </c>
    </row>
    <row r="5" customFormat="false" ht="25.5" hidden="false" customHeight="true" outlineLevel="0" collapsed="false">
      <c r="A5" s="6" t="s">
        <v>255</v>
      </c>
      <c r="D5" s="29" t="n">
        <f aca="false">COUNTIFS('Competitor Matrix'!$G$6:$G$17,"Yes")</f>
        <v>9</v>
      </c>
    </row>
    <row r="6" customFormat="false" ht="25.5" hidden="false" customHeight="true" outlineLevel="0" collapsed="false">
      <c r="A6" s="6" t="s">
        <v>256</v>
      </c>
      <c r="D6" s="29" t="n">
        <f aca="false">COUNTIFS('Competitor Matrix'!$G$6:$G$17,"Yes",'Competitor Matrix'!$E$6:$E$17,"UK")</f>
        <v>6</v>
      </c>
    </row>
    <row r="7" customFormat="false" ht="25.5" hidden="false" customHeight="true" outlineLevel="0" collapsed="false">
      <c r="A7" s="6" t="s">
        <v>257</v>
      </c>
      <c r="D7" s="29" t="n">
        <f aca="false">COUNTIFS('Competitor Matrix'!$G$6:$G$17,"Yes",'Competitor Matrix'!$H$6:$H$17,"Fully certified*")</f>
        <v>2</v>
      </c>
    </row>
    <row r="8" customFormat="false" ht="25.5" hidden="false" customHeight="true" outlineLevel="0" collapsed="false">
      <c r="A8" s="6" t="s">
        <v>258</v>
      </c>
      <c r="D8" s="29" t="n">
        <f aca="false">SUMPRODUCT(('Competitor Matrix'!$G$6:$G$17="Yes")*(ISNUMBER('Competitor Matrix'!$O$6:$O$17)))</f>
        <v>4</v>
      </c>
    </row>
    <row r="9" customFormat="false" ht="25.5" hidden="false" customHeight="true" outlineLevel="0" collapsed="false">
      <c r="A9" s="6" t="s">
        <v>259</v>
      </c>
      <c r="D9" s="29" t="n">
        <f aca="false">MIN('Competitor Matrix'!$O$6:$O$17)</f>
        <v>325000</v>
      </c>
    </row>
    <row r="10" customFormat="false" ht="25.5" hidden="false" customHeight="true" outlineLevel="0" collapsed="false">
      <c r="A10" s="6" t="s">
        <v>260</v>
      </c>
      <c r="D10" s="29" t="n">
        <f aca="false">MAX('Competitor Matrix'!$O$6:$O$17)</f>
        <v>615000</v>
      </c>
    </row>
    <row r="12" customFormat="false" ht="15" hidden="false" customHeight="false" outlineLevel="0" collapsed="false">
      <c r="A12" s="9" t="s">
        <v>261</v>
      </c>
    </row>
    <row r="14" customFormat="false" ht="15" hidden="false" customHeight="false" outlineLevel="0" collapsed="false">
      <c r="A14" s="3" t="s">
        <v>262</v>
      </c>
    </row>
    <row r="15" customFormat="false" ht="91.5" hidden="false" customHeight="true" outlineLevel="0" collapsed="false">
      <c r="A15" s="4" t="s">
        <v>263</v>
      </c>
      <c r="B15" s="4"/>
      <c r="C15" s="4"/>
      <c r="D15" s="4"/>
      <c r="E15" s="4"/>
      <c r="F15" s="4"/>
    </row>
    <row r="17" customFormat="false" ht="15" hidden="false" customHeight="false" outlineLevel="0" collapsed="false">
      <c r="A17" s="3" t="s">
        <v>264</v>
      </c>
    </row>
    <row r="18" customFormat="false" ht="91.5" hidden="false" customHeight="true" outlineLevel="0" collapsed="false">
      <c r="A18" s="4" t="s">
        <v>265</v>
      </c>
      <c r="B18" s="4"/>
      <c r="C18" s="4"/>
      <c r="D18" s="4"/>
      <c r="E18" s="4"/>
      <c r="F18" s="4"/>
    </row>
    <row r="20" customFormat="false" ht="15" hidden="false" customHeight="false" outlineLevel="0" collapsed="false">
      <c r="A20" s="3" t="s">
        <v>266</v>
      </c>
    </row>
    <row r="21" customFormat="false" ht="91.5" hidden="false" customHeight="true" outlineLevel="0" collapsed="false">
      <c r="A21" s="4" t="s">
        <v>267</v>
      </c>
      <c r="B21" s="4"/>
      <c r="C21" s="4"/>
      <c r="D21" s="4"/>
      <c r="E21" s="4"/>
      <c r="F21" s="4"/>
    </row>
    <row r="23" customFormat="false" ht="15" hidden="false" customHeight="false" outlineLevel="0" collapsed="false">
      <c r="A23" s="3" t="s">
        <v>268</v>
      </c>
    </row>
    <row r="24" customFormat="false" ht="91.5" hidden="false" customHeight="true" outlineLevel="0" collapsed="false">
      <c r="A24" s="4" t="s">
        <v>269</v>
      </c>
      <c r="B24" s="4"/>
      <c r="C24" s="4"/>
      <c r="D24" s="4"/>
      <c r="E24" s="4"/>
      <c r="F24" s="4"/>
    </row>
    <row r="26" customFormat="false" ht="15" hidden="false" customHeight="false" outlineLevel="0" collapsed="false">
      <c r="A26" s="3" t="s">
        <v>270</v>
      </c>
    </row>
    <row r="27" customFormat="false" ht="91.5" hidden="false" customHeight="true" outlineLevel="0" collapsed="false">
      <c r="A27" s="4" t="s">
        <v>271</v>
      </c>
      <c r="B27" s="4"/>
      <c r="C27" s="4"/>
      <c r="D27" s="4"/>
      <c r="E27" s="4"/>
      <c r="F27" s="4"/>
    </row>
    <row r="29" customFormat="false" ht="15" hidden="false" customHeight="false" outlineLevel="0" collapsed="false">
      <c r="A29" s="3" t="s">
        <v>272</v>
      </c>
    </row>
    <row r="30" customFormat="false" ht="91.5" hidden="false" customHeight="true" outlineLevel="0" collapsed="false">
      <c r="A30" s="4" t="s">
        <v>273</v>
      </c>
      <c r="B30" s="4"/>
      <c r="C30" s="4"/>
      <c r="D30" s="4"/>
      <c r="E30" s="4"/>
      <c r="F30" s="4"/>
    </row>
  </sheetData>
  <mergeCells count="6">
    <mergeCell ref="A15:F15"/>
    <mergeCell ref="A18:F18"/>
    <mergeCell ref="A21:F21"/>
    <mergeCell ref="A24:F24"/>
    <mergeCell ref="A27:F27"/>
    <mergeCell ref="A30:F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52"/>
    <col collapsed="false" customWidth="true" hidden="false" outlineLevel="0" max="3" min="3" style="0" width="44"/>
    <col collapsed="false" customWidth="true" hidden="false" outlineLevel="0" max="4" min="4" style="0" width="74"/>
  </cols>
  <sheetData>
    <row r="1" customFormat="false" ht="17.35" hidden="false" customHeight="false" outlineLevel="0" collapsed="false">
      <c r="A1" s="7" t="s">
        <v>274</v>
      </c>
    </row>
    <row r="2" customFormat="false" ht="15" hidden="false" customHeight="false" outlineLevel="0" collapsed="false">
      <c r="A2" s="2" t="s">
        <v>275</v>
      </c>
    </row>
    <row r="4" customFormat="false" ht="15" hidden="false" customHeight="false" outlineLevel="0" collapsed="false">
      <c r="A4" s="30" t="s">
        <v>33</v>
      </c>
      <c r="B4" s="30" t="s">
        <v>276</v>
      </c>
      <c r="C4" s="30" t="s">
        <v>277</v>
      </c>
      <c r="D4" s="30" t="s">
        <v>278</v>
      </c>
    </row>
    <row r="5" customFormat="false" ht="30" hidden="false" customHeight="true" outlineLevel="0" collapsed="false">
      <c r="A5" s="12" t="s">
        <v>66</v>
      </c>
      <c r="B5" s="12" t="s">
        <v>279</v>
      </c>
      <c r="C5" s="12" t="s">
        <v>280</v>
      </c>
      <c r="D5" s="12" t="s">
        <v>281</v>
      </c>
    </row>
    <row r="6" customFormat="false" ht="30" hidden="false" customHeight="true" outlineLevel="0" collapsed="false">
      <c r="A6" s="12" t="s">
        <v>282</v>
      </c>
      <c r="B6" s="12" t="s">
        <v>283</v>
      </c>
      <c r="C6" s="12" t="s">
        <v>284</v>
      </c>
      <c r="D6" s="12" t="s">
        <v>285</v>
      </c>
    </row>
    <row r="7" customFormat="false" ht="30" hidden="false" customHeight="true" outlineLevel="0" collapsed="false">
      <c r="A7" s="12" t="s">
        <v>286</v>
      </c>
      <c r="B7" s="12" t="s">
        <v>287</v>
      </c>
      <c r="C7" s="12" t="s">
        <v>288</v>
      </c>
      <c r="D7" s="12" t="s">
        <v>289</v>
      </c>
    </row>
    <row r="8" customFormat="false" ht="30" hidden="false" customHeight="true" outlineLevel="0" collapsed="false">
      <c r="A8" s="12" t="s">
        <v>290</v>
      </c>
      <c r="B8" s="12" t="s">
        <v>291</v>
      </c>
      <c r="C8" s="12" t="s">
        <v>292</v>
      </c>
      <c r="D8" s="12" t="s">
        <v>293</v>
      </c>
    </row>
    <row r="9" customFormat="false" ht="30" hidden="false" customHeight="true" outlineLevel="0" collapsed="false">
      <c r="A9" s="12" t="s">
        <v>294</v>
      </c>
      <c r="B9" s="12" t="s">
        <v>295</v>
      </c>
      <c r="C9" s="12" t="s">
        <v>296</v>
      </c>
      <c r="D9" s="12" t="s">
        <v>297</v>
      </c>
    </row>
    <row r="10" customFormat="false" ht="30" hidden="false" customHeight="true" outlineLevel="0" collapsed="false">
      <c r="A10" s="12" t="s">
        <v>298</v>
      </c>
      <c r="B10" s="12" t="s">
        <v>299</v>
      </c>
      <c r="C10" s="12" t="s">
        <v>300</v>
      </c>
      <c r="D10" s="12" t="s">
        <v>301</v>
      </c>
    </row>
    <row r="11" customFormat="false" ht="30" hidden="false" customHeight="true" outlineLevel="0" collapsed="false">
      <c r="A11" s="12" t="s">
        <v>302</v>
      </c>
      <c r="B11" s="12" t="s">
        <v>303</v>
      </c>
      <c r="C11" s="12" t="s">
        <v>304</v>
      </c>
      <c r="D11" s="12" t="s">
        <v>305</v>
      </c>
    </row>
    <row r="12" customFormat="false" ht="30" hidden="false" customHeight="true" outlineLevel="0" collapsed="false">
      <c r="A12" s="12" t="s">
        <v>306</v>
      </c>
      <c r="B12" s="12" t="s">
        <v>307</v>
      </c>
      <c r="C12" s="12" t="s">
        <v>308</v>
      </c>
      <c r="D12" s="12" t="s">
        <v>309</v>
      </c>
    </row>
    <row r="13" customFormat="false" ht="30" hidden="false" customHeight="true" outlineLevel="0" collapsed="false">
      <c r="A13" s="12" t="s">
        <v>180</v>
      </c>
      <c r="B13" s="12" t="s">
        <v>310</v>
      </c>
      <c r="C13" s="12" t="s">
        <v>311</v>
      </c>
      <c r="D13" s="12" t="s">
        <v>312</v>
      </c>
    </row>
    <row r="14" customFormat="false" ht="30" hidden="false" customHeight="true" outlineLevel="0" collapsed="false">
      <c r="A14" s="12" t="s">
        <v>133</v>
      </c>
      <c r="B14" s="12" t="s">
        <v>313</v>
      </c>
      <c r="C14" s="12" t="s">
        <v>314</v>
      </c>
      <c r="D14" s="12" t="s">
        <v>315</v>
      </c>
    </row>
    <row r="15" customFormat="false" ht="30" hidden="false" customHeight="true" outlineLevel="0" collapsed="false">
      <c r="A15" s="12" t="s">
        <v>139</v>
      </c>
      <c r="B15" s="12" t="s">
        <v>316</v>
      </c>
      <c r="C15" s="12" t="s">
        <v>317</v>
      </c>
      <c r="D15" s="12" t="s">
        <v>318</v>
      </c>
    </row>
    <row r="16" customFormat="false" ht="30" hidden="false" customHeight="true" outlineLevel="0" collapsed="false">
      <c r="A16" s="12" t="s">
        <v>147</v>
      </c>
      <c r="B16" s="12" t="s">
        <v>319</v>
      </c>
      <c r="C16" s="12" t="s">
        <v>320</v>
      </c>
      <c r="D16" s="12" t="s">
        <v>321</v>
      </c>
    </row>
    <row r="17" customFormat="false" ht="30" hidden="false" customHeight="true" outlineLevel="0" collapsed="false">
      <c r="A17" s="12" t="s">
        <v>322</v>
      </c>
      <c r="B17" s="12" t="s">
        <v>323</v>
      </c>
      <c r="C17" s="12" t="s">
        <v>324</v>
      </c>
      <c r="D17" s="12" t="s">
        <v>325</v>
      </c>
    </row>
    <row r="18" customFormat="false" ht="30" hidden="false" customHeight="true" outlineLevel="0" collapsed="false">
      <c r="A18" s="12" t="s">
        <v>326</v>
      </c>
      <c r="B18" s="12" t="s">
        <v>327</v>
      </c>
      <c r="C18" s="12" t="s">
        <v>328</v>
      </c>
      <c r="D18" s="12" t="s">
        <v>329</v>
      </c>
    </row>
    <row r="19" customFormat="false" ht="30" hidden="false" customHeight="true" outlineLevel="0" collapsed="false">
      <c r="A19" s="12" t="s">
        <v>330</v>
      </c>
      <c r="B19" s="12" t="s">
        <v>331</v>
      </c>
      <c r="C19" s="12" t="s">
        <v>332</v>
      </c>
      <c r="D19" s="12" t="s">
        <v>333</v>
      </c>
    </row>
    <row r="20" customFormat="false" ht="30" hidden="false" customHeight="true" outlineLevel="0" collapsed="false">
      <c r="A20" s="12" t="s">
        <v>334</v>
      </c>
      <c r="B20" s="12" t="s">
        <v>335</v>
      </c>
      <c r="C20" s="12" t="s">
        <v>336</v>
      </c>
      <c r="D20" s="12" t="s">
        <v>337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2026-09-12T16:54:05Z</dcterms:created>
  <dc:creator>openpyxl</dc:creator>
  <dc:description/>
  <dc:language>en-US</dc:language>
  <cp:lastModifiedBy/>
  <dcterms:modified xsi:type="dcterms:W3CDTF">2026-09-12T16:54:05Z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